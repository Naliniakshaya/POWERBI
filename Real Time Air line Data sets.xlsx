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ten-my.sharepoint.com/personal/nalinis_promantusinc_com/Documents/Documents/DA/"/>
    </mc:Choice>
  </mc:AlternateContent>
  <xr:revisionPtr revIDLastSave="433" documentId="8_{2D5A8CFE-614B-4806-8312-EF41B3BFDA11}" xr6:coauthVersionLast="47" xr6:coauthVersionMax="47" xr10:uidLastSave="{1AF2AD59-3B02-499B-A342-CD58F4025E05}"/>
  <bookViews>
    <workbookView xWindow="-110" yWindow="-110" windowWidth="19420" windowHeight="10300" xr2:uid="{CC8DAD4D-FBE9-40F6-96FD-FE6B440108BF}"/>
  </bookViews>
  <sheets>
    <sheet name="Sheet6" sheetId="6" r:id="rId1"/>
    <sheet name="Data Set " sheetId="5" r:id="rId2"/>
    <sheet name="Copy of Data Set" sheetId="1" r:id="rId3"/>
  </sheets>
  <definedNames>
    <definedName name="_xlnm._FilterDatabase" localSheetId="2" hidden="1">'Copy of Data Set'!$A$1:$W$1</definedName>
    <definedName name="_xlnm._FilterDatabase" localSheetId="1" hidden="1">'Data Set 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6" l="1"/>
  <c r="B9" i="6"/>
  <c r="B8" i="6"/>
  <c r="E15" i="6"/>
  <c r="E14" i="6"/>
  <c r="E13" i="6"/>
  <c r="E12" i="6"/>
  <c r="E11" i="6"/>
  <c r="E10" i="6"/>
  <c r="E9" i="6"/>
  <c r="D15" i="6"/>
  <c r="D14" i="6"/>
  <c r="D13" i="6"/>
  <c r="D12" i="6"/>
  <c r="D11" i="6"/>
  <c r="D10" i="6"/>
  <c r="D9" i="6"/>
  <c r="D8" i="6"/>
  <c r="C15" i="6"/>
  <c r="C14" i="6"/>
  <c r="C13" i="6"/>
  <c r="C12" i="6"/>
  <c r="C11" i="6"/>
  <c r="C10" i="6"/>
  <c r="C9" i="6"/>
  <c r="C8" i="6"/>
  <c r="D26" i="6"/>
  <c r="E26" i="6"/>
  <c r="E25" i="6"/>
  <c r="E24" i="6"/>
  <c r="E23" i="6"/>
  <c r="E22" i="6"/>
  <c r="E21" i="6"/>
  <c r="E20" i="6"/>
  <c r="E19" i="6"/>
  <c r="D25" i="6"/>
  <c r="D24" i="6"/>
  <c r="D23" i="6"/>
  <c r="D22" i="6"/>
  <c r="D21" i="6"/>
  <c r="D20" i="6"/>
  <c r="D19" i="6"/>
  <c r="C26" i="6"/>
  <c r="C25" i="6"/>
  <c r="C24" i="6"/>
  <c r="C23" i="6"/>
  <c r="C22" i="6"/>
  <c r="C21" i="6"/>
  <c r="C20" i="6"/>
  <c r="C19" i="6"/>
  <c r="B19" i="6"/>
  <c r="D32" i="6"/>
  <c r="D45" i="6"/>
  <c r="D44" i="6"/>
  <c r="D43" i="6"/>
  <c r="D34" i="6"/>
  <c r="D33" i="6"/>
  <c r="B46" i="6"/>
  <c r="B45" i="6"/>
  <c r="B44" i="6"/>
  <c r="B43" i="6"/>
  <c r="B35" i="6"/>
  <c r="B34" i="6"/>
  <c r="B33" i="6"/>
  <c r="B32" i="6"/>
  <c r="B26" i="6"/>
  <c r="B25" i="6"/>
  <c r="B24" i="6"/>
  <c r="B23" i="6"/>
  <c r="B22" i="6"/>
  <c r="B21" i="6"/>
  <c r="B20" i="6"/>
  <c r="B15" i="6"/>
  <c r="B14" i="6"/>
  <c r="B13" i="6"/>
  <c r="B12" i="6"/>
  <c r="B11" i="6"/>
  <c r="B10" i="6"/>
  <c r="B2" i="6"/>
  <c r="B1" i="6"/>
  <c r="E16" i="6" l="1"/>
  <c r="D16" i="6"/>
  <c r="C16" i="6"/>
  <c r="D27" i="6"/>
  <c r="E27" i="6"/>
  <c r="C27" i="6"/>
  <c r="D49" i="6"/>
  <c r="B49" i="6"/>
  <c r="D40" i="6"/>
  <c r="B40" i="6"/>
  <c r="B27" i="6"/>
  <c r="B16" i="6"/>
  <c r="B3" i="6"/>
</calcChain>
</file>

<file path=xl/sharedStrings.xml><?xml version="1.0" encoding="utf-8"?>
<sst xmlns="http://schemas.openxmlformats.org/spreadsheetml/2006/main" count="14361" uniqueCount="734">
  <si>
    <t>Passenger_ID</t>
  </si>
  <si>
    <t>Passenger_Name</t>
  </si>
  <si>
    <t>Age</t>
  </si>
  <si>
    <t>Gender</t>
  </si>
  <si>
    <t>Airline</t>
  </si>
  <si>
    <t>Flight_Number</t>
  </si>
  <si>
    <t>Flight_Type</t>
  </si>
  <si>
    <t>Departure_Airport</t>
  </si>
  <si>
    <t>Arrival_Airport</t>
  </si>
  <si>
    <t>PAX0001</t>
  </si>
  <si>
    <t>Rahul Sharma</t>
  </si>
  <si>
    <t>Male</t>
  </si>
  <si>
    <t>IndiGo</t>
  </si>
  <si>
    <t>National</t>
  </si>
  <si>
    <t>MAA</t>
  </si>
  <si>
    <t>DEL</t>
  </si>
  <si>
    <t>PAX0002</t>
  </si>
  <si>
    <t>Priya Nair</t>
  </si>
  <si>
    <t>Female</t>
  </si>
  <si>
    <t>Air India</t>
  </si>
  <si>
    <t>AI512</t>
  </si>
  <si>
    <t>International</t>
  </si>
  <si>
    <t>BOM</t>
  </si>
  <si>
    <t>DXB</t>
  </si>
  <si>
    <t>PAX0003</t>
  </si>
  <si>
    <t>Arjun Mehta</t>
  </si>
  <si>
    <t>Emirates</t>
  </si>
  <si>
    <t>EK220</t>
  </si>
  <si>
    <t>LHR</t>
  </si>
  <si>
    <t>PAX0004</t>
  </si>
  <si>
    <t>Sneha Iyer</t>
  </si>
  <si>
    <t>Qatar Airways</t>
  </si>
  <si>
    <t>QR901</t>
  </si>
  <si>
    <t>BLR</t>
  </si>
  <si>
    <t>SIN</t>
  </si>
  <si>
    <t>PAX0005</t>
  </si>
  <si>
    <t>Vikram Rao</t>
  </si>
  <si>
    <t>Singapore Airlines</t>
  </si>
  <si>
    <t>SQ318</t>
  </si>
  <si>
    <t>HYD</t>
  </si>
  <si>
    <t>JFK</t>
  </si>
  <si>
    <t>PAX0006</t>
  </si>
  <si>
    <t>Meera Kapoor</t>
  </si>
  <si>
    <t>Lufthansa</t>
  </si>
  <si>
    <t>LH760</t>
  </si>
  <si>
    <t>FRA</t>
  </si>
  <si>
    <t>PAX0007</t>
  </si>
  <si>
    <t>Karan Verma</t>
  </si>
  <si>
    <t>British Airways</t>
  </si>
  <si>
    <t>BA256</t>
  </si>
  <si>
    <t>PAX0008</t>
  </si>
  <si>
    <t>Ananya Das</t>
  </si>
  <si>
    <t>Delta</t>
  </si>
  <si>
    <t>DL404</t>
  </si>
  <si>
    <t>PAX0009</t>
  </si>
  <si>
    <t>Rohit Menon</t>
  </si>
  <si>
    <t>6E788</t>
  </si>
  <si>
    <t>CCU</t>
  </si>
  <si>
    <t>PAX0010</t>
  </si>
  <si>
    <t>Divya Krishnan</t>
  </si>
  <si>
    <t>AI662</t>
  </si>
  <si>
    <t>PAX0011</t>
  </si>
  <si>
    <t>Sanjay Patel</t>
  </si>
  <si>
    <t>EK501</t>
  </si>
  <si>
    <t>PAX0012</t>
  </si>
  <si>
    <t>Pooja Singh</t>
  </si>
  <si>
    <t>6E902</t>
  </si>
  <si>
    <t>PAX0013</t>
  </si>
  <si>
    <t>Amit Joshi</t>
  </si>
  <si>
    <t>SQ422</t>
  </si>
  <si>
    <t>PAX0014</t>
  </si>
  <si>
    <t>Neha Bhatia</t>
  </si>
  <si>
    <t>LH880</t>
  </si>
  <si>
    <t>PAX0015</t>
  </si>
  <si>
    <t>Ramesh Kumar</t>
  </si>
  <si>
    <t>AI309</t>
  </si>
  <si>
    <t>Departure_City</t>
  </si>
  <si>
    <t>Arrival_City</t>
  </si>
  <si>
    <t>Travel_Date</t>
  </si>
  <si>
    <t>Departure_Time</t>
  </si>
  <si>
    <t>Arrival_Time</t>
  </si>
  <si>
    <t>Seat_No</t>
  </si>
  <si>
    <t>Class</t>
  </si>
  <si>
    <t>Ticket_Price_USD</t>
  </si>
  <si>
    <t>Baggage_Weight_KG</t>
  </si>
  <si>
    <t>Status</t>
  </si>
  <si>
    <t>Delay_Minutes</t>
  </si>
  <si>
    <t>Booking_Channel</t>
  </si>
  <si>
    <t>Meal_Preference</t>
  </si>
  <si>
    <t>Loyalty_Points</t>
  </si>
  <si>
    <t>Chennai</t>
  </si>
  <si>
    <t>Delhi</t>
  </si>
  <si>
    <t>12A</t>
  </si>
  <si>
    <t>Economy</t>
  </si>
  <si>
    <t>On Time</t>
  </si>
  <si>
    <t>Website</t>
  </si>
  <si>
    <t>Veg</t>
  </si>
  <si>
    <t>Mumbai</t>
  </si>
  <si>
    <t>Dubai</t>
  </si>
  <si>
    <t>2C</t>
  </si>
  <si>
    <t>Business</t>
  </si>
  <si>
    <t>Delayed</t>
  </si>
  <si>
    <t>Mobile App</t>
  </si>
  <si>
    <t>Non-Veg</t>
  </si>
  <si>
    <t>London</t>
  </si>
  <si>
    <t>1A</t>
  </si>
  <si>
    <t>First</t>
  </si>
  <si>
    <t>Travel Agent</t>
  </si>
  <si>
    <t>Bangalore</t>
  </si>
  <si>
    <t>Singapore</t>
  </si>
  <si>
    <t>22B</t>
  </si>
  <si>
    <t>Cancelled</t>
  </si>
  <si>
    <t>Vegan</t>
  </si>
  <si>
    <t>Hyderabad</t>
  </si>
  <si>
    <t>New York</t>
  </si>
  <si>
    <t>4D</t>
  </si>
  <si>
    <t>Frankfurt</t>
  </si>
  <si>
    <t>18F</t>
  </si>
  <si>
    <t>Premium Economy</t>
  </si>
  <si>
    <t>3A</t>
  </si>
  <si>
    <t>25C</t>
  </si>
  <si>
    <t>Kolkata</t>
  </si>
  <si>
    <t>14D</t>
  </si>
  <si>
    <t>9B</t>
  </si>
  <si>
    <t>5F</t>
  </si>
  <si>
    <t>Jain</t>
  </si>
  <si>
    <t>28A</t>
  </si>
  <si>
    <t>6C</t>
  </si>
  <si>
    <t>1F</t>
  </si>
  <si>
    <t>16C</t>
  </si>
  <si>
    <t>PAX0016</t>
  </si>
  <si>
    <t>Kavya Reddy</t>
  </si>
  <si>
    <t>DL890</t>
  </si>
  <si>
    <t>11D</t>
  </si>
  <si>
    <t>PAX0017</t>
  </si>
  <si>
    <t>Aditya Sen</t>
  </si>
  <si>
    <t>6E999</t>
  </si>
  <si>
    <t>20E</t>
  </si>
  <si>
    <t>PAX0018</t>
  </si>
  <si>
    <t>Shreya Pillai</t>
  </si>
  <si>
    <t>AI445</t>
  </si>
  <si>
    <t>13A</t>
  </si>
  <si>
    <t>PAX0019</t>
  </si>
  <si>
    <t>Nitin Arora</t>
  </si>
  <si>
    <t>EK720</t>
  </si>
  <si>
    <t>2D</t>
  </si>
  <si>
    <t>PAX0020</t>
  </si>
  <si>
    <t>Aisha Khan</t>
  </si>
  <si>
    <t>QR311</t>
  </si>
  <si>
    <t>24F</t>
  </si>
  <si>
    <t>PAX0021</t>
  </si>
  <si>
    <t>Manoj Gupta</t>
  </si>
  <si>
    <t>14A</t>
  </si>
  <si>
    <t>PAX0022</t>
  </si>
  <si>
    <t>Ritu Malhotra</t>
  </si>
  <si>
    <t>AI701</t>
  </si>
  <si>
    <t>3B</t>
  </si>
  <si>
    <t>PAX0023</t>
  </si>
  <si>
    <t>Suresh Iyer</t>
  </si>
  <si>
    <t>EK301</t>
  </si>
  <si>
    <t>6F</t>
  </si>
  <si>
    <t>PAX0024</t>
  </si>
  <si>
    <t>Nisha Agarwal</t>
  </si>
  <si>
    <t>QR441</t>
  </si>
  <si>
    <t>10C</t>
  </si>
  <si>
    <t>PAX0025</t>
  </si>
  <si>
    <t>Deepak Chawla</t>
  </si>
  <si>
    <t>LH455</t>
  </si>
  <si>
    <t>5A</t>
  </si>
  <si>
    <t>PAX0026</t>
  </si>
  <si>
    <t>Isha Rangan</t>
  </si>
  <si>
    <t>DL221</t>
  </si>
  <si>
    <t>22D</t>
  </si>
  <si>
    <t>PAX0027</t>
  </si>
  <si>
    <t>Rajesh Kumar</t>
  </si>
  <si>
    <t>6E510</t>
  </si>
  <si>
    <t>18B</t>
  </si>
  <si>
    <t>PAX0028</t>
  </si>
  <si>
    <t>Priyanka Das</t>
  </si>
  <si>
    <t>AI432</t>
  </si>
  <si>
    <t>21A</t>
  </si>
  <si>
    <t>PAX0029</t>
  </si>
  <si>
    <t>Arjun Kapoor</t>
  </si>
  <si>
    <t>4C</t>
  </si>
  <si>
    <t>PAX0030</t>
  </si>
  <si>
    <t>Megha Jain</t>
  </si>
  <si>
    <t>BA144</t>
  </si>
  <si>
    <t>7D</t>
  </si>
  <si>
    <t>PAX0031</t>
  </si>
  <si>
    <t>Sandeep Rao</t>
  </si>
  <si>
    <t>EK520</t>
  </si>
  <si>
    <t>2A</t>
  </si>
  <si>
    <t>PAX0032</t>
  </si>
  <si>
    <t>Neha Sharma</t>
  </si>
  <si>
    <t>6E880</t>
  </si>
  <si>
    <t>19F</t>
  </si>
  <si>
    <t>PAX0033</t>
  </si>
  <si>
    <t>Vikram Singh</t>
  </si>
  <si>
    <t>AI609</t>
  </si>
  <si>
    <t>6B</t>
  </si>
  <si>
    <t>PAX0034</t>
  </si>
  <si>
    <t>QR112</t>
  </si>
  <si>
    <t>24C</t>
  </si>
  <si>
    <t>PAX0035</t>
  </si>
  <si>
    <t>6E777</t>
  </si>
  <si>
    <t>13D</t>
  </si>
  <si>
    <t>PAX0036</t>
  </si>
  <si>
    <t>LH910</t>
  </si>
  <si>
    <t>8A</t>
  </si>
  <si>
    <t>PAX0037</t>
  </si>
  <si>
    <t>5E</t>
  </si>
  <si>
    <t>PAX0038</t>
  </si>
  <si>
    <t>27B</t>
  </si>
  <si>
    <t>PAX0039</t>
  </si>
  <si>
    <t>SQ421</t>
  </si>
  <si>
    <t>PAX0040</t>
  </si>
  <si>
    <t>PAX0041</t>
  </si>
  <si>
    <t>PAX0042</t>
  </si>
  <si>
    <t>PAX0043</t>
  </si>
  <si>
    <t>PAX0044</t>
  </si>
  <si>
    <t>PAX0045</t>
  </si>
  <si>
    <t>PAX0046</t>
  </si>
  <si>
    <t>Ishita Mehra</t>
  </si>
  <si>
    <t>PAX0047</t>
  </si>
  <si>
    <t>Manish Agarwal</t>
  </si>
  <si>
    <t>6E333</t>
  </si>
  <si>
    <t>15B</t>
  </si>
  <si>
    <t>PAX0048</t>
  </si>
  <si>
    <t>PAX0049</t>
  </si>
  <si>
    <t>PAX0050</t>
  </si>
  <si>
    <t>PAX0051</t>
  </si>
  <si>
    <t>Kunal Verma</t>
  </si>
  <si>
    <t>EK601</t>
  </si>
  <si>
    <t>PAX0052</t>
  </si>
  <si>
    <t>Anjali Nair</t>
  </si>
  <si>
    <t>6E402</t>
  </si>
  <si>
    <t>14C</t>
  </si>
  <si>
    <t>PAX0053</t>
  </si>
  <si>
    <t>Rohit Sharma</t>
  </si>
  <si>
    <t>AI101</t>
  </si>
  <si>
    <t>2B</t>
  </si>
  <si>
    <t>PAX0054</t>
  </si>
  <si>
    <t>Priya Iyer</t>
  </si>
  <si>
    <t>QR556</t>
  </si>
  <si>
    <t>22A</t>
  </si>
  <si>
    <t>PAX0055</t>
  </si>
  <si>
    <t>Suresh Kumar</t>
  </si>
  <si>
    <t>LH220</t>
  </si>
  <si>
    <t>7C</t>
  </si>
  <si>
    <t>PAX0056</t>
  </si>
  <si>
    <t>Neha Kapoor</t>
  </si>
  <si>
    <t>SQ401</t>
  </si>
  <si>
    <t>5D</t>
  </si>
  <si>
    <t>PAX0057</t>
  </si>
  <si>
    <t>Vikram Patel</t>
  </si>
  <si>
    <t>DL300</t>
  </si>
  <si>
    <t>PAX0058</t>
  </si>
  <si>
    <t>Divya Menon</t>
  </si>
  <si>
    <t>6E611</t>
  </si>
  <si>
    <t>21D</t>
  </si>
  <si>
    <t>PAX0059</t>
  </si>
  <si>
    <t>BA900</t>
  </si>
  <si>
    <t>4A</t>
  </si>
  <si>
    <t>PAX0060</t>
  </si>
  <si>
    <t>AI650</t>
  </si>
  <si>
    <t>19A</t>
  </si>
  <si>
    <t>PAX0061</t>
  </si>
  <si>
    <t>EK777</t>
  </si>
  <si>
    <t>6E</t>
  </si>
  <si>
    <t>PAX0062</t>
  </si>
  <si>
    <t>LH510</t>
  </si>
  <si>
    <t>1D</t>
  </si>
  <si>
    <t>PAX0063</t>
  </si>
  <si>
    <t>Ramesh Iyer</t>
  </si>
  <si>
    <t>AI305</t>
  </si>
  <si>
    <t>16A</t>
  </si>
  <si>
    <t>PAX0064</t>
  </si>
  <si>
    <t>Isha Khan</t>
  </si>
  <si>
    <t>QR120</t>
  </si>
  <si>
    <t>PAX0065</t>
  </si>
  <si>
    <t>6E888</t>
  </si>
  <si>
    <t>12B</t>
  </si>
  <si>
    <t>PAX0066</t>
  </si>
  <si>
    <t>AI455</t>
  </si>
  <si>
    <t>13C</t>
  </si>
  <si>
    <t>PAX0067</t>
  </si>
  <si>
    <t>PAX0068</t>
  </si>
  <si>
    <t>PAX0069</t>
  </si>
  <si>
    <t>PAX0070</t>
  </si>
  <si>
    <t>PAX0071</t>
  </si>
  <si>
    <t>PAX0072</t>
  </si>
  <si>
    <t>PAX0073</t>
  </si>
  <si>
    <t>PAX0074</t>
  </si>
  <si>
    <t>PAX0075</t>
  </si>
  <si>
    <t>PAX0076</t>
  </si>
  <si>
    <t>PAX0077</t>
  </si>
  <si>
    <t>PAX0078</t>
  </si>
  <si>
    <t>PAX0079</t>
  </si>
  <si>
    <t>PAX0080</t>
  </si>
  <si>
    <t>PAX0081</t>
  </si>
  <si>
    <t>PAX0082</t>
  </si>
  <si>
    <t>PAX0083</t>
  </si>
  <si>
    <t>PAX0084</t>
  </si>
  <si>
    <t>PAX0085</t>
  </si>
  <si>
    <t>PAX0086</t>
  </si>
  <si>
    <t>PAX0087</t>
  </si>
  <si>
    <t>PAX0088</t>
  </si>
  <si>
    <t>PAX0089</t>
  </si>
  <si>
    <t>PAX0090</t>
  </si>
  <si>
    <t>PAX0091</t>
  </si>
  <si>
    <t>PAX0092</t>
  </si>
  <si>
    <t>PAX0093</t>
  </si>
  <si>
    <t>PAX0094</t>
  </si>
  <si>
    <t>PAX0095</t>
  </si>
  <si>
    <t>PAX0096</t>
  </si>
  <si>
    <t>PAX0097</t>
  </si>
  <si>
    <t>PAX0098</t>
  </si>
  <si>
    <t>PAX0099</t>
  </si>
  <si>
    <t>PAX0100</t>
  </si>
  <si>
    <t>PAX0101</t>
  </si>
  <si>
    <t>PAX0102</t>
  </si>
  <si>
    <t>PAX0103</t>
  </si>
  <si>
    <t>PAX0104</t>
  </si>
  <si>
    <t>PAX0105</t>
  </si>
  <si>
    <t>PAX0106</t>
  </si>
  <si>
    <t>PAX0107</t>
  </si>
  <si>
    <t>PAX0108</t>
  </si>
  <si>
    <t>PAX0109</t>
  </si>
  <si>
    <t>PAX0110</t>
  </si>
  <si>
    <t>PAX0111</t>
  </si>
  <si>
    <t>PAX0112</t>
  </si>
  <si>
    <t>PAX0113</t>
  </si>
  <si>
    <t>PAX0114</t>
  </si>
  <si>
    <t>PAX0115</t>
  </si>
  <si>
    <t>PAX0116</t>
  </si>
  <si>
    <t>PAX0117</t>
  </si>
  <si>
    <t>PAX0118</t>
  </si>
  <si>
    <t>PAX0119</t>
  </si>
  <si>
    <t>PAX0120</t>
  </si>
  <si>
    <t>PAX0121</t>
  </si>
  <si>
    <t>PAX0122</t>
  </si>
  <si>
    <t>PAX0123</t>
  </si>
  <si>
    <t>PAX0124</t>
  </si>
  <si>
    <t>PAX0125</t>
  </si>
  <si>
    <t>PAX0126</t>
  </si>
  <si>
    <t>PAX0127</t>
  </si>
  <si>
    <t>PAX0128</t>
  </si>
  <si>
    <t>PAX0129</t>
  </si>
  <si>
    <t>PAX0130</t>
  </si>
  <si>
    <t>PAX0131</t>
  </si>
  <si>
    <t>PAX0132</t>
  </si>
  <si>
    <t>PAX0133</t>
  </si>
  <si>
    <t>PAX0134</t>
  </si>
  <si>
    <t>PAX0135</t>
  </si>
  <si>
    <t>PAX0136</t>
  </si>
  <si>
    <t>PAX0137</t>
  </si>
  <si>
    <t>PAX0138</t>
  </si>
  <si>
    <t>PAX0139</t>
  </si>
  <si>
    <t>PAX0140</t>
  </si>
  <si>
    <t>PAX0141</t>
  </si>
  <si>
    <t>PAX0142</t>
  </si>
  <si>
    <t>PAX0143</t>
  </si>
  <si>
    <t>PAX0144</t>
  </si>
  <si>
    <t>PAX0145</t>
  </si>
  <si>
    <t>PAX0146</t>
  </si>
  <si>
    <t>PAX0147</t>
  </si>
  <si>
    <t>PAX0148</t>
  </si>
  <si>
    <t>PAX0149</t>
  </si>
  <si>
    <t>PAX0150</t>
  </si>
  <si>
    <t>PAX0151</t>
  </si>
  <si>
    <t>PAX0152</t>
  </si>
  <si>
    <t>PAX0153</t>
  </si>
  <si>
    <t>PAX0154</t>
  </si>
  <si>
    <t>PAX0155</t>
  </si>
  <si>
    <t>PAX0156</t>
  </si>
  <si>
    <t>PAX0157</t>
  </si>
  <si>
    <t>PAX0158</t>
  </si>
  <si>
    <t>PAX0159</t>
  </si>
  <si>
    <t>PAX0160</t>
  </si>
  <si>
    <t>PAX0161</t>
  </si>
  <si>
    <t>PAX0162</t>
  </si>
  <si>
    <t>PAX0163</t>
  </si>
  <si>
    <t>PAX0164</t>
  </si>
  <si>
    <t>PAX0165</t>
  </si>
  <si>
    <t>PAX0166</t>
  </si>
  <si>
    <t>PAX0167</t>
  </si>
  <si>
    <t>PAX0168</t>
  </si>
  <si>
    <t>PAX0169</t>
  </si>
  <si>
    <t>PAX0170</t>
  </si>
  <si>
    <t>PAX0171</t>
  </si>
  <si>
    <t>PAX0172</t>
  </si>
  <si>
    <t>PAX0173</t>
  </si>
  <si>
    <t>PAX0174</t>
  </si>
  <si>
    <t>PAX0175</t>
  </si>
  <si>
    <t>PAX0176</t>
  </si>
  <si>
    <t>PAX0177</t>
  </si>
  <si>
    <t>PAX0178</t>
  </si>
  <si>
    <t>PAX0179</t>
  </si>
  <si>
    <t>PAX0180</t>
  </si>
  <si>
    <t>PAX0181</t>
  </si>
  <si>
    <t>PAX0182</t>
  </si>
  <si>
    <t>PAX0183</t>
  </si>
  <si>
    <t>PAX0184</t>
  </si>
  <si>
    <t>PAX0185</t>
  </si>
  <si>
    <t>PAX0186</t>
  </si>
  <si>
    <t>PAX0187</t>
  </si>
  <si>
    <t>PAX0188</t>
  </si>
  <si>
    <t>PAX0189</t>
  </si>
  <si>
    <t>PAX0190</t>
  </si>
  <si>
    <t>PAX0191</t>
  </si>
  <si>
    <t>PAX0192</t>
  </si>
  <si>
    <t>PAX0193</t>
  </si>
  <si>
    <t>PAX0194</t>
  </si>
  <si>
    <t>PAX0195</t>
  </si>
  <si>
    <t>PAX0196</t>
  </si>
  <si>
    <t>PAX0197</t>
  </si>
  <si>
    <t>PAX0198</t>
  </si>
  <si>
    <t>PAX0199</t>
  </si>
  <si>
    <t>PAX0200</t>
  </si>
  <si>
    <t>PAX0201</t>
  </si>
  <si>
    <t>PAX0202</t>
  </si>
  <si>
    <t>PAX0203</t>
  </si>
  <si>
    <t>PAX0204</t>
  </si>
  <si>
    <t>PAX0205</t>
  </si>
  <si>
    <t>PAX0206</t>
  </si>
  <si>
    <t>PAX0207</t>
  </si>
  <si>
    <t>PAX0208</t>
  </si>
  <si>
    <t>PAX0209</t>
  </si>
  <si>
    <t>PAX0210</t>
  </si>
  <si>
    <t>PAX0211</t>
  </si>
  <si>
    <t>PAX0212</t>
  </si>
  <si>
    <t>PAX0213</t>
  </si>
  <si>
    <t>PAX0214</t>
  </si>
  <si>
    <t>PAX0215</t>
  </si>
  <si>
    <t>PAX0216</t>
  </si>
  <si>
    <t>PAX0217</t>
  </si>
  <si>
    <t>PAX0218</t>
  </si>
  <si>
    <t>PAX0219</t>
  </si>
  <si>
    <t>PAX0220</t>
  </si>
  <si>
    <t>PAX0221</t>
  </si>
  <si>
    <t>PAX0222</t>
  </si>
  <si>
    <t>PAX0223</t>
  </si>
  <si>
    <t>PAX0224</t>
  </si>
  <si>
    <t>PAX0225</t>
  </si>
  <si>
    <t>PAX0226</t>
  </si>
  <si>
    <t>PAX0227</t>
  </si>
  <si>
    <t>PAX0228</t>
  </si>
  <si>
    <t>PAX0229</t>
  </si>
  <si>
    <t>PAX0230</t>
  </si>
  <si>
    <t>PAX0231</t>
  </si>
  <si>
    <t>PAX0232</t>
  </si>
  <si>
    <t>PAX0233</t>
  </si>
  <si>
    <t>PAX0234</t>
  </si>
  <si>
    <t>PAX0235</t>
  </si>
  <si>
    <t>PAX0236</t>
  </si>
  <si>
    <t>PAX0237</t>
  </si>
  <si>
    <t>PAX0238</t>
  </si>
  <si>
    <t>PAX0239</t>
  </si>
  <si>
    <t>PAX0240</t>
  </si>
  <si>
    <t>PAX0241</t>
  </si>
  <si>
    <t>PAX0242</t>
  </si>
  <si>
    <t>PAX0243</t>
  </si>
  <si>
    <t>PAX0244</t>
  </si>
  <si>
    <t>PAX0245</t>
  </si>
  <si>
    <t>PAX0246</t>
  </si>
  <si>
    <t>PAX0247</t>
  </si>
  <si>
    <t>PAX0248</t>
  </si>
  <si>
    <t>PAX0249</t>
  </si>
  <si>
    <t>PAX0250</t>
  </si>
  <si>
    <t>PAX0251</t>
  </si>
  <si>
    <t>PAX0252</t>
  </si>
  <si>
    <t>PAX0253</t>
  </si>
  <si>
    <t>PAX0254</t>
  </si>
  <si>
    <t>PAX0255</t>
  </si>
  <si>
    <t>PAX0256</t>
  </si>
  <si>
    <t>PAX0257</t>
  </si>
  <si>
    <t>PAX0258</t>
  </si>
  <si>
    <t>PAX0259</t>
  </si>
  <si>
    <t>PAX0260</t>
  </si>
  <si>
    <t>PAX0261</t>
  </si>
  <si>
    <t>PAX0262</t>
  </si>
  <si>
    <t>PAX0263</t>
  </si>
  <si>
    <t>PAX0264</t>
  </si>
  <si>
    <t>PAX0265</t>
  </si>
  <si>
    <t>PAX0266</t>
  </si>
  <si>
    <t>PAX0267</t>
  </si>
  <si>
    <t>PAX0268</t>
  </si>
  <si>
    <t>PAX0269</t>
  </si>
  <si>
    <t>PAX0270</t>
  </si>
  <si>
    <t>PAX0271</t>
  </si>
  <si>
    <t>PAX0272</t>
  </si>
  <si>
    <t>PAX0273</t>
  </si>
  <si>
    <t>PAX0274</t>
  </si>
  <si>
    <t>PAX0275</t>
  </si>
  <si>
    <t>PAX0276</t>
  </si>
  <si>
    <t>PAX0277</t>
  </si>
  <si>
    <t>PAX0278</t>
  </si>
  <si>
    <t>PAX0279</t>
  </si>
  <si>
    <t>PAX0280</t>
  </si>
  <si>
    <t>PAX0281</t>
  </si>
  <si>
    <t>PAX0282</t>
  </si>
  <si>
    <t>PAX0283</t>
  </si>
  <si>
    <t>PAX0284</t>
  </si>
  <si>
    <t>PAX0285</t>
  </si>
  <si>
    <t>PAX0286</t>
  </si>
  <si>
    <t>PAX0287</t>
  </si>
  <si>
    <t>PAX0288</t>
  </si>
  <si>
    <t>PAX0289</t>
  </si>
  <si>
    <t>PAX0290</t>
  </si>
  <si>
    <t>PAX0291</t>
  </si>
  <si>
    <t>PAX0292</t>
  </si>
  <si>
    <t>PAX0293</t>
  </si>
  <si>
    <t>PAX0294</t>
  </si>
  <si>
    <t>PAX0295</t>
  </si>
  <si>
    <t>PAX0296</t>
  </si>
  <si>
    <t>PAX0297</t>
  </si>
  <si>
    <t>PAX0298</t>
  </si>
  <si>
    <t>PAX0299</t>
  </si>
  <si>
    <t>PAX0300</t>
  </si>
  <si>
    <t>PAX0301</t>
  </si>
  <si>
    <t>PAX0302</t>
  </si>
  <si>
    <t>PAX0303</t>
  </si>
  <si>
    <t>PAX0304</t>
  </si>
  <si>
    <t>PAX0305</t>
  </si>
  <si>
    <t>PAX0306</t>
  </si>
  <si>
    <t>PAX0307</t>
  </si>
  <si>
    <t>PAX0308</t>
  </si>
  <si>
    <t>PAX0309</t>
  </si>
  <si>
    <t>PAX0310</t>
  </si>
  <si>
    <t>PAX0311</t>
  </si>
  <si>
    <t>PAX0312</t>
  </si>
  <si>
    <t>PAX0313</t>
  </si>
  <si>
    <t>PAX0314</t>
  </si>
  <si>
    <t>PAX0315</t>
  </si>
  <si>
    <t>PAX0316</t>
  </si>
  <si>
    <t>PAX0317</t>
  </si>
  <si>
    <t>PAX0318</t>
  </si>
  <si>
    <t>PAX0319</t>
  </si>
  <si>
    <t>PAX0320</t>
  </si>
  <si>
    <t>PAX0321</t>
  </si>
  <si>
    <t>PAX0322</t>
  </si>
  <si>
    <t>PAX0323</t>
  </si>
  <si>
    <t>PAX0324</t>
  </si>
  <si>
    <t>PAX0325</t>
  </si>
  <si>
    <t>PAX0326</t>
  </si>
  <si>
    <t>PAX0327</t>
  </si>
  <si>
    <t>PAX0328</t>
  </si>
  <si>
    <t>PAX0329</t>
  </si>
  <si>
    <t>PAX0330</t>
  </si>
  <si>
    <t>PAX0331</t>
  </si>
  <si>
    <t>PAX0332</t>
  </si>
  <si>
    <t>PAX0333</t>
  </si>
  <si>
    <t>PAX0334</t>
  </si>
  <si>
    <t>PAX0335</t>
  </si>
  <si>
    <t>PAX0336</t>
  </si>
  <si>
    <t>PAX0337</t>
  </si>
  <si>
    <t>PAX0338</t>
  </si>
  <si>
    <t>PAX0339</t>
  </si>
  <si>
    <t>PAX0340</t>
  </si>
  <si>
    <t>PAX0341</t>
  </si>
  <si>
    <t>PAX0342</t>
  </si>
  <si>
    <t>PAX0343</t>
  </si>
  <si>
    <t>PAX0344</t>
  </si>
  <si>
    <t>PAX0345</t>
  </si>
  <si>
    <t>PAX0346</t>
  </si>
  <si>
    <t>PAX0347</t>
  </si>
  <si>
    <t>PAX0348</t>
  </si>
  <si>
    <t>PAX0349</t>
  </si>
  <si>
    <t>PAX0350</t>
  </si>
  <si>
    <t>PAX0351</t>
  </si>
  <si>
    <t>PAX0352</t>
  </si>
  <si>
    <t>PAX0353</t>
  </si>
  <si>
    <t>PAX0354</t>
  </si>
  <si>
    <t>PAX0355</t>
  </si>
  <si>
    <t>PAX0356</t>
  </si>
  <si>
    <t>PAX0357</t>
  </si>
  <si>
    <t>PAX0358</t>
  </si>
  <si>
    <t>PAX0359</t>
  </si>
  <si>
    <t>PAX0360</t>
  </si>
  <si>
    <t>PAX0361</t>
  </si>
  <si>
    <t>PAX0362</t>
  </si>
  <si>
    <t>PAX0363</t>
  </si>
  <si>
    <t>PAX0364</t>
  </si>
  <si>
    <t>PAX0365</t>
  </si>
  <si>
    <t>PAX0366</t>
  </si>
  <si>
    <t>PAX0367</t>
  </si>
  <si>
    <t>PAX0368</t>
  </si>
  <si>
    <t>PAX0369</t>
  </si>
  <si>
    <t>PAX0370</t>
  </si>
  <si>
    <t>PAX0371</t>
  </si>
  <si>
    <t>PAX0372</t>
  </si>
  <si>
    <t>PAX0373</t>
  </si>
  <si>
    <t>PAX0374</t>
  </si>
  <si>
    <t>PAX0375</t>
  </si>
  <si>
    <t>PAX0376</t>
  </si>
  <si>
    <t>PAX0377</t>
  </si>
  <si>
    <t>PAX0378</t>
  </si>
  <si>
    <t>PAX0379</t>
  </si>
  <si>
    <t>PAX0380</t>
  </si>
  <si>
    <t>PAX0381</t>
  </si>
  <si>
    <t>PAX0382</t>
  </si>
  <si>
    <t>PAX0383</t>
  </si>
  <si>
    <t>PAX0384</t>
  </si>
  <si>
    <t>PAX0385</t>
  </si>
  <si>
    <t>PAX0386</t>
  </si>
  <si>
    <t>PAX0387</t>
  </si>
  <si>
    <t>PAX0388</t>
  </si>
  <si>
    <t>PAX0389</t>
  </si>
  <si>
    <t>PAX0390</t>
  </si>
  <si>
    <t>PAX0391</t>
  </si>
  <si>
    <t>PAX0392</t>
  </si>
  <si>
    <t>PAX0393</t>
  </si>
  <si>
    <t>PAX0394</t>
  </si>
  <si>
    <t>PAX0395</t>
  </si>
  <si>
    <t>PAX0396</t>
  </si>
  <si>
    <t>PAX0397</t>
  </si>
  <si>
    <t>PAX0398</t>
  </si>
  <si>
    <t>PAX0399</t>
  </si>
  <si>
    <t>PAX0400</t>
  </si>
  <si>
    <t>PAX0401</t>
  </si>
  <si>
    <t>Aarav Sharma</t>
  </si>
  <si>
    <t>PAX0402</t>
  </si>
  <si>
    <t>Diya Menon</t>
  </si>
  <si>
    <t>AI203</t>
  </si>
  <si>
    <t>PAX0403</t>
  </si>
  <si>
    <t>Rohan Das</t>
  </si>
  <si>
    <t>PAX0404</t>
  </si>
  <si>
    <t>Sanya Kapoor</t>
  </si>
  <si>
    <t>QR201</t>
  </si>
  <si>
    <t>DOH</t>
  </si>
  <si>
    <t>Doha</t>
  </si>
  <si>
    <t>PAX0405</t>
  </si>
  <si>
    <t>Vikram Iyer</t>
  </si>
  <si>
    <t>LH750</t>
  </si>
  <si>
    <t>PAX0406</t>
  </si>
  <si>
    <t>Meera Nair</t>
  </si>
  <si>
    <t>PAX0407</t>
  </si>
  <si>
    <t>BA142</t>
  </si>
  <si>
    <t>PAX0408</t>
  </si>
  <si>
    <t>Ananya Singh</t>
  </si>
  <si>
    <t>DL303</t>
  </si>
  <si>
    <t>27A</t>
  </si>
  <si>
    <t>PAX0409</t>
  </si>
  <si>
    <t>Rahul Mehta</t>
  </si>
  <si>
    <t>SQ319</t>
  </si>
  <si>
    <t>6D</t>
  </si>
  <si>
    <t>PAX0410</t>
  </si>
  <si>
    <t>Priya Sharma</t>
  </si>
  <si>
    <t>15A</t>
  </si>
  <si>
    <t>PAX0411</t>
  </si>
  <si>
    <t>Aman Joshi</t>
  </si>
  <si>
    <t>AI401</t>
  </si>
  <si>
    <t>4F</t>
  </si>
  <si>
    <t>PAX0412</t>
  </si>
  <si>
    <t>Ishita Roy</t>
  </si>
  <si>
    <t>EK703</t>
  </si>
  <si>
    <t>7B</t>
  </si>
  <si>
    <t>PAX0413</t>
  </si>
  <si>
    <t>Nikhil Arora</t>
  </si>
  <si>
    <t>QR509</t>
  </si>
  <si>
    <t>3C</t>
  </si>
  <si>
    <t>PAX0414</t>
  </si>
  <si>
    <t>Shreya Patel</t>
  </si>
  <si>
    <t>6E444</t>
  </si>
  <si>
    <t>19D</t>
  </si>
  <si>
    <t>PAX0415</t>
  </si>
  <si>
    <t>LH761</t>
  </si>
  <si>
    <t>PAX0416</t>
  </si>
  <si>
    <t>Neha Verma</t>
  </si>
  <si>
    <t>DL210</t>
  </si>
  <si>
    <t>LAX</t>
  </si>
  <si>
    <t>Los Angeles</t>
  </si>
  <si>
    <t>23C</t>
  </si>
  <si>
    <t>PAX0417</t>
  </si>
  <si>
    <t>Siddharth Rao</t>
  </si>
  <si>
    <t>6E505</t>
  </si>
  <si>
    <t>10B</t>
  </si>
  <si>
    <t>PAX0418</t>
  </si>
  <si>
    <t>AI612</t>
  </si>
  <si>
    <t>12C</t>
  </si>
  <si>
    <t>PAX0419</t>
  </si>
  <si>
    <t>Rahul Singh</t>
  </si>
  <si>
    <t>EK202</t>
  </si>
  <si>
    <t>1B</t>
  </si>
  <si>
    <t>PAX0420</t>
  </si>
  <si>
    <t>Pooja Iyer</t>
  </si>
  <si>
    <t>SQ402</t>
  </si>
  <si>
    <t>PAX0421</t>
  </si>
  <si>
    <t>PAX0422</t>
  </si>
  <si>
    <t>PAX0423</t>
  </si>
  <si>
    <t>PAX0424</t>
  </si>
  <si>
    <t>PAX0425</t>
  </si>
  <si>
    <t>PAX0426</t>
  </si>
  <si>
    <t>PAX0427</t>
  </si>
  <si>
    <t>PAX0428</t>
  </si>
  <si>
    <t>PAX0429</t>
  </si>
  <si>
    <t>PAX0430</t>
  </si>
  <si>
    <t>PAX0431</t>
  </si>
  <si>
    <t>PAX0432</t>
  </si>
  <si>
    <t>PAX0433</t>
  </si>
  <si>
    <t>PAX0434</t>
  </si>
  <si>
    <t>PAX0435</t>
  </si>
  <si>
    <t>PAX0436</t>
  </si>
  <si>
    <t>PAX0437</t>
  </si>
  <si>
    <t>PAX0438</t>
  </si>
  <si>
    <t>PAX0439</t>
  </si>
  <si>
    <t>PAX0440</t>
  </si>
  <si>
    <t>PAX0441</t>
  </si>
  <si>
    <t>PAX0442</t>
  </si>
  <si>
    <t>PAX0443</t>
  </si>
  <si>
    <t>PAX0444</t>
  </si>
  <si>
    <t>PAX0445</t>
  </si>
  <si>
    <t>PAX0446</t>
  </si>
  <si>
    <t>PAX0447</t>
  </si>
  <si>
    <t>PAX0448</t>
  </si>
  <si>
    <t>PAX0449</t>
  </si>
  <si>
    <t>PAX0450</t>
  </si>
  <si>
    <t>6E245</t>
  </si>
  <si>
    <t>6E201</t>
  </si>
  <si>
    <t>6E101</t>
  </si>
  <si>
    <t>6E205</t>
  </si>
  <si>
    <t>Overall Count</t>
  </si>
  <si>
    <t>National Flights count</t>
  </si>
  <si>
    <t>International Flights count</t>
  </si>
  <si>
    <t>Airline count for National</t>
  </si>
  <si>
    <t>Airindia</t>
  </si>
  <si>
    <t>Indigo</t>
  </si>
  <si>
    <t>Singapor Airlines</t>
  </si>
  <si>
    <t>Airline count for InterNational</t>
  </si>
  <si>
    <t>Total</t>
  </si>
  <si>
    <t>Status for National</t>
  </si>
  <si>
    <t>Status for International</t>
  </si>
  <si>
    <t>Ontime</t>
  </si>
  <si>
    <t xml:space="preserve">Jain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</si>
</sst>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7" tint="0.59999389629810485"/>
      </patternFill>
    </fill>
    <fill>
      <patternFill patternType="solid">
        <fgColor theme="0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0" fillId="0" borderId="0" xfId="0" quotePrefix="1" applyNumberFormat="1" applyAlignment="1">
      <alignment vertical="center" wrapText="1"/>
    </xf>
    <xf numFmtId="164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8">
    <dxf>
      <numFmt numFmtId="25" formatCode="hh:mm"/>
    </dxf>
    <dxf>
      <numFmt numFmtId="25" formatCode="hh:m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25" formatCode="hh:mm"/>
    </dxf>
    <dxf>
      <numFmt numFmtId="25" formatCode="hh:m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2E70A3-944E-421B-9EB1-21AF41E1009E}" name="Table2" displayName="Table2" ref="A1:W501" totalsRowShown="0" headerRowDxfId="7">
  <autoFilter ref="A1:W501" xr:uid="{CF2E70A3-944E-421B-9EB1-21AF41E1009E}"/>
  <tableColumns count="23">
    <tableColumn id="1" xr3:uid="{CB7193B7-9D1A-4B1C-AAE6-59CC7F35BAA2}" name="Passenger_ID"/>
    <tableColumn id="2" xr3:uid="{23133425-304A-4930-81C2-7A367D35B0C1}" name="Passenger_Name"/>
    <tableColumn id="3" xr3:uid="{515FD8EA-FC89-4A9E-AB89-7C856403660E}" name="Age"/>
    <tableColumn id="4" xr3:uid="{63D41DA7-062E-4B8D-A85B-EE81C4EE1908}" name="Gender"/>
    <tableColumn id="5" xr3:uid="{C64263BD-CA88-4E69-A2BC-C7B8DE84968E}" name="Airline"/>
    <tableColumn id="6" xr3:uid="{1A0AA86F-648E-48D7-A528-1F64DDFC8DAB}" name="Flight_Number"/>
    <tableColumn id="7" xr3:uid="{28E91EF2-01C3-4759-890C-2E3940F0F240}" name="Flight_Type"/>
    <tableColumn id="8" xr3:uid="{51FAA122-9D7F-4EB1-8A4D-1CE7F8322016}" name="Departure_Airport"/>
    <tableColumn id="9" xr3:uid="{CCCEAD51-AB25-4F03-BB6F-E6144A9592F3}" name="Arrival_Airport"/>
    <tableColumn id="10" xr3:uid="{FAFE57BD-50DD-4644-ABFF-AACBE11360D7}" name="Departure_City"/>
    <tableColumn id="11" xr3:uid="{1EA46329-4646-4706-8AA4-C836EF47750B}" name="Arrival_City"/>
    <tableColumn id="12" xr3:uid="{096AA1E6-25B5-47D6-8FF4-3137B0AB4E05}" name="Travel_Date" dataDxfId="6"/>
    <tableColumn id="13" xr3:uid="{6D27830B-60C7-4C7B-B333-1BCA6D1D92E8}" name="Departure_Time" dataDxfId="5"/>
    <tableColumn id="14" xr3:uid="{C5C4EB36-4615-4D28-9365-A2C3C71ED481}" name="Arrival_Time" dataDxfId="4"/>
    <tableColumn id="15" xr3:uid="{A94E72F0-63A8-48E6-847B-4D670B2540E8}" name="Seat_No"/>
    <tableColumn id="16" xr3:uid="{95CA853B-80A1-440C-B7BA-AC7C9E9CB396}" name="Class"/>
    <tableColumn id="17" xr3:uid="{323159DA-03D1-49DE-A0D6-CDDBB783303E}" name="Ticket_Price_USD"/>
    <tableColumn id="18" xr3:uid="{346C1FAF-EF89-4D1E-ABDF-931CDB824D93}" name="Baggage_Weight_KG"/>
    <tableColumn id="19" xr3:uid="{816B09B7-0453-4965-92B1-4732D8C11CD0}" name="Status"/>
    <tableColumn id="20" xr3:uid="{AA75B01E-2A05-4182-91EE-B0449C7182CB}" name="Delay_Minutes"/>
    <tableColumn id="21" xr3:uid="{D1B71090-2216-43DB-994D-EF5AD816F03C}" name="Booking_Channel"/>
    <tableColumn id="22" xr3:uid="{302FC750-FEC1-48B5-A0F9-5B6267344A65}" name="Meal_Preference"/>
    <tableColumn id="23" xr3:uid="{3FE8E6DE-CC7B-4A31-ABA9-9FCAA0A355F0}" name="Loyalty_Points"/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34C62-C21A-4EE1-8F0D-B4806D94883F}" name="Table1" displayName="Table1" ref="A1:W451" totalsRowShown="0" headerRowDxfId="3">
  <autoFilter ref="A1:W451" xr:uid="{3D234C62-C21A-4EE1-8F0D-B4806D94883F}"/>
  <tableColumns count="23">
    <tableColumn id="1" xr3:uid="{768B3272-099C-4F82-B8B9-38169141D516}" name="Passenger_ID"/>
    <tableColumn id="2" xr3:uid="{7AE2D41D-762F-4269-9362-7DCFA742C213}" name="Passenger_Name"/>
    <tableColumn id="3" xr3:uid="{4FAF5F6B-0FF9-4526-B8A3-3BFCB5CC6712}" name="Age"/>
    <tableColumn id="4" xr3:uid="{CA541F8A-89E4-4848-9315-41627E18F750}" name="Gender"/>
    <tableColumn id="5" xr3:uid="{D7D0184F-581D-408E-8789-60ADB348DBC7}" name="Airline"/>
    <tableColumn id="6" xr3:uid="{8A014178-DF2B-4D51-AFB7-9454A0B57C9E}" name="Flight_Number"/>
    <tableColumn id="7" xr3:uid="{114D0734-2A94-4532-A5C4-409A1BED65A3}" name="Flight_Type"/>
    <tableColumn id="8" xr3:uid="{1E488156-288F-4BF4-8D69-E0BEC5861BDD}" name="Departure_Airport"/>
    <tableColumn id="9" xr3:uid="{A95CE119-17A7-40E7-A7E5-B18954C25BA9}" name="Arrival_Airport"/>
    <tableColumn id="10" xr3:uid="{DD9A594E-B326-4206-A253-C80EA42616E9}" name="Departure_City"/>
    <tableColumn id="11" xr3:uid="{D796EAD3-9993-4653-80E5-66DC02CD2D25}" name="Arrival_City"/>
    <tableColumn id="12" xr3:uid="{45B9281F-6AFD-4730-BEF8-E8CD3379DD5B}" name="Travel_Date" dataDxfId="2"/>
    <tableColumn id="13" xr3:uid="{FDE0E71B-F81F-4388-9804-0E1BF80E71EB}" name="Departure_Time" dataDxfId="1"/>
    <tableColumn id="14" xr3:uid="{18EB3D6D-5738-4295-9BA7-5769CF3D0DB1}" name="Arrival_Time" dataDxfId="0"/>
    <tableColumn id="15" xr3:uid="{201CA5A9-04FD-41B1-AFFB-A2407674CE95}" name="Seat_No"/>
    <tableColumn id="16" xr3:uid="{1232F063-51C6-4853-8C6B-ECC4DC088024}" name="Class"/>
    <tableColumn id="17" xr3:uid="{FCC180BE-20B5-4110-BFD7-F76598D80F4A}" name="Ticket_Price_USD"/>
    <tableColumn id="18" xr3:uid="{542FDF2D-CC5A-497F-9EBE-5858D234AD81}" name="Baggage_Weight_KG"/>
    <tableColumn id="19" xr3:uid="{44E7FEC5-CC71-4A0E-ACCB-90190A182000}" name="Status"/>
    <tableColumn id="20" xr3:uid="{8029AFB4-E2FD-4495-9593-AA7CED2A379F}" name="Delay_Minutes"/>
    <tableColumn id="21" xr3:uid="{BDC8333A-781E-4C17-BE72-C8D7EFF59211}" name="Booking_Channel"/>
    <tableColumn id="22" xr3:uid="{40C38CF1-F383-458A-8476-7D34EDE18571}" name="Meal_Preference"/>
    <tableColumn id="23" xr3:uid="{52832CEC-FA72-4D4F-8CFE-488E55811499}" name="Loyalty_Point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B52D-0777-4F72-B6C6-6CEEFC58DF2D}">
  <dimension ref="A1:G49"/>
  <sheetViews>
    <sheetView tabSelected="1" topLeftCell="A9" workbookViewId="0">
      <selection activeCell="F13" sqref="F13"/>
    </sheetView>
  </sheetViews>
  <sheetFormatPr defaultRowHeight="14.5" x14ac:dyDescent="0.35"/>
  <cols>
    <col min="1" max="1" width="24.6328125" bestFit="1" customWidth="1"/>
    <col min="5" max="5" width="15.90625" bestFit="1" customWidth="1"/>
    <col min="6" max="7" width="10.6328125" bestFit="1" customWidth="1"/>
  </cols>
  <sheetData>
    <row r="1" spans="1:7" x14ac:dyDescent="0.35">
      <c r="A1" t="s">
        <v>722</v>
      </c>
      <c r="B1">
        <f>COUNTIF(Table2[[#All],[Flight_Type]], "National")</f>
        <v>144</v>
      </c>
    </row>
    <row r="2" spans="1:7" x14ac:dyDescent="0.35">
      <c r="A2" t="s">
        <v>723</v>
      </c>
      <c r="B2">
        <f>COUNTIF(Table2[[#All],[Flight_Type]], "International")</f>
        <v>356</v>
      </c>
    </row>
    <row r="3" spans="1:7" x14ac:dyDescent="0.35">
      <c r="A3" t="s">
        <v>721</v>
      </c>
      <c r="B3">
        <f>SUM(B1:B2)</f>
        <v>500</v>
      </c>
    </row>
    <row r="7" spans="1:7" x14ac:dyDescent="0.35">
      <c r="A7" t="s">
        <v>724</v>
      </c>
      <c r="C7" t="s">
        <v>732</v>
      </c>
      <c r="D7" t="s">
        <v>101</v>
      </c>
      <c r="E7" t="s">
        <v>111</v>
      </c>
    </row>
    <row r="8" spans="1:7" x14ac:dyDescent="0.35">
      <c r="A8" t="s">
        <v>725</v>
      </c>
      <c r="B8">
        <f>COUNTIFS('Data Set '!E:E,"Air India",'Data Set '!G:G,"National")</f>
        <v>39</v>
      </c>
      <c r="C8">
        <f>COUNTIFS('Data Set '!E:E,"Air India",'Data Set '!G:G,"National",'Data Set '!S:S,"On Time")</f>
        <v>0</v>
      </c>
      <c r="D8">
        <f>COUNTIFS('Data Set '!E:E,"Air India",'Data Set '!G:G,"National",'Data Set '!S:S,"Delayed")</f>
        <v>38</v>
      </c>
      <c r="E8">
        <f>COUNTIFS('Data Set '!E:E,"AirIndia",'Data Set '!G:G,"National",'Data Set '!S:S,"Cancelled")</f>
        <v>0</v>
      </c>
      <c r="F8" s="14" t="s">
        <v>95</v>
      </c>
      <c r="G8" s="14"/>
    </row>
    <row r="9" spans="1:7" x14ac:dyDescent="0.35">
      <c r="A9" t="s">
        <v>48</v>
      </c>
      <c r="B9">
        <f>COUNTIFS('Data Set '!E:E,"British Airways",'Data Set '!G:G,"National")</f>
        <v>0</v>
      </c>
      <c r="C9">
        <f>COUNTIFS('Data Set '!E:E,"British Airways",'Data Set '!G:G,"National",'Data Set '!S:S,"On Time")</f>
        <v>0</v>
      </c>
      <c r="D9">
        <f>COUNTIFS('Data Set '!E:E,"British Airways",'Data Set '!G:G,"National",'Data Set '!S:S,"Delayed")</f>
        <v>0</v>
      </c>
      <c r="E9">
        <f>COUNTIFS('Data Set '!E:E,"British Airways",'Data Set '!G:G,"National",'Data Set '!S:S,"Cancelled")</f>
        <v>0</v>
      </c>
      <c r="F9" s="15" t="s">
        <v>102</v>
      </c>
      <c r="G9" s="15"/>
    </row>
    <row r="10" spans="1:7" x14ac:dyDescent="0.35">
      <c r="A10" t="s">
        <v>52</v>
      </c>
      <c r="B10">
        <f>COUNTIFS('Data Set '!E:E,"Delta",'Data Set '!G:G,"National")</f>
        <v>0</v>
      </c>
      <c r="C10">
        <f>COUNTIFS('Data Set '!E:E,"Delta",'Data Set '!G:G,"National",'Data Set '!S:S,"On Time")</f>
        <v>0</v>
      </c>
      <c r="D10">
        <f>COUNTIFS('Data Set '!E:E,"Delta",'Data Set '!G:G,"National",'Data Set '!S:S,"Delayed")</f>
        <v>0</v>
      </c>
      <c r="E10">
        <f>COUNTIFS('Data Set '!E:E,"Delta",'Data Set '!G:G,"National",'Data Set '!S:S,"Cancelled")</f>
        <v>0</v>
      </c>
      <c r="F10" s="14" t="s">
        <v>107</v>
      </c>
      <c r="G10" s="14"/>
    </row>
    <row r="11" spans="1:7" x14ac:dyDescent="0.35">
      <c r="A11" t="s">
        <v>26</v>
      </c>
      <c r="B11">
        <f>COUNTIFS('Data Set '!E:E,"Emirates",'Data Set '!G:G,"National")</f>
        <v>0</v>
      </c>
      <c r="C11">
        <f>COUNTIFS('Data Set '!E:E,"Emirates",'Data Set '!G:G,"National",'Data Set '!S:S,"On Time")</f>
        <v>0</v>
      </c>
      <c r="D11">
        <f>COUNTIFS('Data Set '!E:E,"Emirates",'Data Set '!G:G,"National",'Data Set '!S:S,"Delayed")</f>
        <v>0</v>
      </c>
      <c r="E11">
        <f>COUNTIFS('Data Set '!E:E,"Emirates",'Data Set '!G:G,"National",'Data Set '!S:S,"Cancelled")</f>
        <v>0</v>
      </c>
    </row>
    <row r="12" spans="1:7" x14ac:dyDescent="0.35">
      <c r="A12" t="s">
        <v>726</v>
      </c>
      <c r="B12">
        <f>COUNTIFS('Data Set '!E:E,"Indigo",'Data Set '!G:G,"National")</f>
        <v>105</v>
      </c>
      <c r="C12">
        <f>COUNTIFS('Data Set '!E:E,"Indigo",'Data Set '!G:G,"National",'Data Set '!S:S,"On Time")</f>
        <v>64</v>
      </c>
      <c r="D12">
        <f>COUNTIFS('Data Set '!E:E,"Indigo",'Data Set '!G:G,"National",'Data Set '!S:S,"Delayed")</f>
        <v>20</v>
      </c>
      <c r="E12">
        <f>COUNTIFS('Data Set '!E:E,"Indigo",'Data Set '!G:G,"National",'Data Set '!S:S,"Cancelled")</f>
        <v>21</v>
      </c>
      <c r="F12" t="s">
        <v>96</v>
      </c>
    </row>
    <row r="13" spans="1:7" x14ac:dyDescent="0.35">
      <c r="A13" t="s">
        <v>43</v>
      </c>
      <c r="B13">
        <f>COUNTIFS('Data Set '!E:E,"Lufthansa",'Data Set '!G:G,"National")</f>
        <v>0</v>
      </c>
      <c r="C13">
        <f>COUNTIFS('Data Set '!E:E,"Lufthansa",'Data Set '!G:G,"National",'Data Set '!S:S,"On Time")</f>
        <v>0</v>
      </c>
      <c r="D13">
        <f>COUNTIFS('Data Set '!E:E,"Lufthansa",'Data Set '!G:G,"National",'Data Set '!S:S,"Delayed")</f>
        <v>0</v>
      </c>
      <c r="E13">
        <f>COUNTIFS('Data Set '!E:E,"Lufthansa",'Data Set '!G:G,"National",'Data Set '!S:S,"Cancelled")</f>
        <v>0</v>
      </c>
      <c r="F13" t="s">
        <v>103</v>
      </c>
    </row>
    <row r="14" spans="1:7" x14ac:dyDescent="0.35">
      <c r="A14" t="s">
        <v>31</v>
      </c>
      <c r="B14">
        <f>COUNTIFS('Data Set '!E:E,"Qatar Airways",'Data Set '!G:G,"National")</f>
        <v>0</v>
      </c>
      <c r="C14">
        <f>COUNTIFS('Data Set '!E:E,"Qatar Airways",'Data Set '!G:G,"National",'Data Set '!S:S,"On Time")</f>
        <v>0</v>
      </c>
      <c r="D14">
        <f>COUNTIFS('Data Set '!E:E,"Qatar Airways",'Data Set '!G:G,"National",'Data Set '!S:S,"Delayed")</f>
        <v>0</v>
      </c>
      <c r="E14">
        <f>COUNTIFS('Data Set '!E:E,"Qatar Airways",'Data Set '!G:G,"National",'Data Set '!S:S,"Cancelled")</f>
        <v>0</v>
      </c>
      <c r="F14" t="s">
        <v>733</v>
      </c>
    </row>
    <row r="15" spans="1:7" x14ac:dyDescent="0.35">
      <c r="A15" t="s">
        <v>727</v>
      </c>
      <c r="B15">
        <f>COUNTIFS('Data Set '!E:E,"Singapore Airlines",'Data Set '!G:G,"National")</f>
        <v>0</v>
      </c>
      <c r="C15">
        <f>COUNTIFS('Data Set '!E:E,"Singapore Airlines",'Data Set '!G:G,"National",'Data Set '!S:S,"On Time")</f>
        <v>0</v>
      </c>
      <c r="D15">
        <f>COUNTIFS('Data Set '!E:E,"Singapore Airlines",'Data Set '!G:G,"National",'Data Set '!S:S,"Delayed")</f>
        <v>0</v>
      </c>
      <c r="E15">
        <f>COUNTIFS('Data Set '!E:E,"Singapore Airlines",'Data Set '!G:G,"National",'Data Set '!S:S,"Cancelled")</f>
        <v>0</v>
      </c>
      <c r="F15" t="s">
        <v>112</v>
      </c>
    </row>
    <row r="16" spans="1:7" x14ac:dyDescent="0.35">
      <c r="A16" t="s">
        <v>729</v>
      </c>
      <c r="B16">
        <f>SUM(B8:B15)</f>
        <v>144</v>
      </c>
      <c r="C16">
        <f>SUM(C8:C15)</f>
        <v>64</v>
      </c>
      <c r="D16">
        <f>SUM(D8:D15)</f>
        <v>58</v>
      </c>
      <c r="E16">
        <f t="shared" ref="E16" si="0">SUM(E8:E15)</f>
        <v>21</v>
      </c>
    </row>
    <row r="18" spans="1:6" x14ac:dyDescent="0.35">
      <c r="A18" t="s">
        <v>728</v>
      </c>
      <c r="C18" t="s">
        <v>732</v>
      </c>
      <c r="D18" t="s">
        <v>101</v>
      </c>
      <c r="E18" t="s">
        <v>111</v>
      </c>
    </row>
    <row r="19" spans="1:6" x14ac:dyDescent="0.35">
      <c r="A19" t="s">
        <v>725</v>
      </c>
      <c r="B19">
        <f>COUNTIFS('Data Set '!E:E,"Air India",'Data Set '!G:G,"International")</f>
        <v>44</v>
      </c>
      <c r="C19">
        <f>COUNTIFS('Data Set '!E:E,"Air India",'Data Set '!G:G,"International",'Data Set '!S:S,"On Time")</f>
        <v>21</v>
      </c>
      <c r="D19">
        <f>COUNTIFS('Data Set '!E:E,"Air India",'Data Set '!G:G,"International",'Data Set '!S:S,"Delayed")</f>
        <v>21</v>
      </c>
      <c r="E19">
        <f>COUNTIFS('Data Set '!E:E,"Air India",'Data Set '!G:G,"International",'Data Set '!S:S,"Cancelled")</f>
        <v>2</v>
      </c>
      <c r="F19" s="14" t="s">
        <v>95</v>
      </c>
    </row>
    <row r="20" spans="1:6" x14ac:dyDescent="0.35">
      <c r="A20" t="s">
        <v>48</v>
      </c>
      <c r="B20">
        <f>COUNTIFS('Data Set '!E:E,"British Airways",'Data Set '!G:G,"International")</f>
        <v>21</v>
      </c>
      <c r="C20">
        <f>COUNTIFS('Data Set '!E:E,"British Airways",'Data Set '!G:G,"International",'Data Set '!S:S,"On Time")</f>
        <v>16</v>
      </c>
      <c r="D20">
        <f>COUNTIFS('Data Set '!E:E,"British Airways",'Data Set '!G:G,"International",'Data Set '!S:S,"Delayed")</f>
        <v>3</v>
      </c>
      <c r="E20">
        <f>COUNTIFS('Data Set '!E:E,"British Airways",'Data Set '!G:G,"International",'Data Set '!S:S,"Cancelled")</f>
        <v>2</v>
      </c>
      <c r="F20" s="15" t="s">
        <v>102</v>
      </c>
    </row>
    <row r="21" spans="1:6" x14ac:dyDescent="0.35">
      <c r="A21" t="s">
        <v>52</v>
      </c>
      <c r="B21">
        <f>COUNTIFS('Data Set '!E:E,"Delta",'Data Set '!G:G,"International")</f>
        <v>40</v>
      </c>
      <c r="C21">
        <f>COUNTIFS('Data Set '!E:E,"Delta",'Data Set '!G:G,"International",'Data Set '!S:S,"On Time")</f>
        <v>6</v>
      </c>
      <c r="D21">
        <f>COUNTIFS('Data Set '!E:E,"Delta",'Data Set '!G:G,"International",'Data Set '!S:S,"Delayed")</f>
        <v>0</v>
      </c>
      <c r="E21">
        <f>COUNTIFS('Data Set '!E:E,"Delta",'Data Set '!G:G,"International",'Data Set '!S:S,"Cancelled")</f>
        <v>34</v>
      </c>
      <c r="F21" s="14" t="s">
        <v>107</v>
      </c>
    </row>
    <row r="22" spans="1:6" x14ac:dyDescent="0.35">
      <c r="A22" t="s">
        <v>26</v>
      </c>
      <c r="B22">
        <f>COUNTIFS('Data Set '!E:E,"Emirates",'Data Set '!G:G,"International")</f>
        <v>82</v>
      </c>
      <c r="C22">
        <f>COUNTIFS('Data Set '!E:E,"Emirates",'Data Set '!G:G,"International",'Data Set '!S:S,"On Time")</f>
        <v>82</v>
      </c>
      <c r="D22">
        <f>COUNTIFS('Data Set '!E:E,"Emirates",'Data Set '!G:G,"International",'Data Set '!S:S,"Delayed")</f>
        <v>0</v>
      </c>
      <c r="E22">
        <f>COUNTIFS('Data Set '!E:E,"Emirates",'Data Set '!G:G,"International",'Data Set '!S:S,"Cancelled")</f>
        <v>0</v>
      </c>
    </row>
    <row r="23" spans="1:6" x14ac:dyDescent="0.35">
      <c r="A23" t="s">
        <v>726</v>
      </c>
      <c r="B23">
        <f>COUNTIFS('Data Set '!E:E,"Indigo",'Data Set '!G:G,"International")</f>
        <v>0</v>
      </c>
      <c r="C23">
        <f>COUNTIFS('Data Set '!E:E,"Indigo",'Data Set '!G:G,"International",'Data Set '!S:S,"On Time")</f>
        <v>0</v>
      </c>
      <c r="D23">
        <f>COUNTIFS('Data Set '!E:E,"Indigo",'Data Set '!G:G,"International",'Data Set '!S:S,"Delayed")</f>
        <v>0</v>
      </c>
      <c r="E23">
        <f>COUNTIFS('Data Set '!E:E,"Indigo",'Data Set '!G:G,"International",'Data Set '!S:S,"Cancelled")</f>
        <v>0</v>
      </c>
      <c r="F23" t="s">
        <v>96</v>
      </c>
    </row>
    <row r="24" spans="1:6" x14ac:dyDescent="0.35">
      <c r="A24" t="s">
        <v>43</v>
      </c>
      <c r="B24">
        <f>COUNTIFS('Data Set '!E:E,"Lufthansa",'Data Set '!G:G,"International")</f>
        <v>62</v>
      </c>
      <c r="C24">
        <f>COUNTIFS('Data Set '!E:E,"Lufthansa",'Data Set '!G:G,"International",'Data Set '!S:S,"On Time")</f>
        <v>24</v>
      </c>
      <c r="D24">
        <f>COUNTIFS('Data Set '!E:E,"Lufthansa",'Data Set '!G:G,"International",'Data Set '!S:S,"Delayed")</f>
        <v>37</v>
      </c>
      <c r="E24">
        <f>COUNTIFS('Data Set '!E:E,"Lufthansa",'Data Set '!G:G,"International",'Data Set '!S:S,"Cancelled")</f>
        <v>1</v>
      </c>
      <c r="F24" t="s">
        <v>103</v>
      </c>
    </row>
    <row r="25" spans="1:6" x14ac:dyDescent="0.35">
      <c r="A25" t="s">
        <v>31</v>
      </c>
      <c r="B25">
        <f>COUNTIFS('Data Set '!E:E,"Qatar Airways",'Data Set '!G:G,"International")</f>
        <v>48</v>
      </c>
      <c r="C25">
        <f>COUNTIFS('Data Set '!E:E,"Qatar Airways",'Data Set '!G:G,"International",'Data Set '!S:S,"On Time")</f>
        <v>2</v>
      </c>
      <c r="D25">
        <f>COUNTIFS('Data Set '!E:E,"Qatar Airways",'Data Set '!G:G,"International",'Data Set '!S:S,"Delayed")</f>
        <v>3</v>
      </c>
      <c r="E25">
        <f>COUNTIFS('Data Set '!E:E,"Qatar Airways",'Data Set '!G:G,"International",'Data Set '!S:S,"Cancelled")</f>
        <v>43</v>
      </c>
      <c r="F25" t="s">
        <v>733</v>
      </c>
    </row>
    <row r="26" spans="1:6" x14ac:dyDescent="0.35">
      <c r="A26" t="s">
        <v>727</v>
      </c>
      <c r="B26">
        <f>COUNTIFS('Data Set '!E:E,"Singapore Airlines",'Data Set '!G:G,"International")</f>
        <v>59</v>
      </c>
      <c r="C26">
        <f>COUNTIFS('Data Set '!E:E,"Singapore Airlines",'Data Set '!G:G,"International",'Data Set '!S:S,"On Time")</f>
        <v>56</v>
      </c>
      <c r="D26">
        <f>COUNTIFS('Data Set '!E:E,"Singapore Airlines",'Data Set '!G:G,"International",'Data Set '!S:S,"Delayed")</f>
        <v>3</v>
      </c>
      <c r="E26">
        <f>COUNTIFS('Data Set '!E:E,"Singapore Airlines",'Data Set '!G:G,"International",'Data Set '!S:S,"Cancelled")</f>
        <v>0</v>
      </c>
      <c r="F26" t="s">
        <v>112</v>
      </c>
    </row>
    <row r="27" spans="1:6" x14ac:dyDescent="0.35">
      <c r="A27" t="s">
        <v>729</v>
      </c>
      <c r="B27">
        <f>SUM(B19:B26)</f>
        <v>356</v>
      </c>
      <c r="C27">
        <f>SUM(C19:C26)</f>
        <v>207</v>
      </c>
      <c r="D27">
        <f>SUM(D19:D26)</f>
        <v>67</v>
      </c>
      <c r="E27">
        <f t="shared" ref="E27" si="1">SUM(E19:E26)</f>
        <v>82</v>
      </c>
    </row>
    <row r="31" spans="1:6" x14ac:dyDescent="0.35">
      <c r="A31" t="s">
        <v>82</v>
      </c>
      <c r="C31" t="s">
        <v>730</v>
      </c>
    </row>
    <row r="32" spans="1:6" x14ac:dyDescent="0.35">
      <c r="A32" s="14" t="s">
        <v>106</v>
      </c>
      <c r="B32">
        <f>COUNTIFS('Data Set '!P:P,"First",'Data Set '!G:G,"National")</f>
        <v>0</v>
      </c>
      <c r="C32" s="15" t="s">
        <v>94</v>
      </c>
      <c r="D32">
        <f>COUNTIFS('Data Set '!S:S,"On Time",'Data Set '!G:G,"National")</f>
        <v>64</v>
      </c>
    </row>
    <row r="33" spans="1:4" x14ac:dyDescent="0.35">
      <c r="A33" s="15" t="s">
        <v>93</v>
      </c>
      <c r="B33">
        <f>COUNTIFS('Data Set '!P:P,"Economy",'Data Set '!G:G,"National")</f>
        <v>129</v>
      </c>
      <c r="C33" s="14" t="s">
        <v>101</v>
      </c>
      <c r="D33">
        <f>COUNTIFS('Data Set '!S:S,"Delayed",'Data Set '!G:G,"National")</f>
        <v>58</v>
      </c>
    </row>
    <row r="34" spans="1:4" x14ac:dyDescent="0.35">
      <c r="A34" s="14" t="s">
        <v>100</v>
      </c>
      <c r="B34">
        <f>COUNTIFS('Data Set '!P:P,"Business",'Data Set '!G:G,"National")</f>
        <v>0</v>
      </c>
      <c r="C34" s="16" t="s">
        <v>111</v>
      </c>
      <c r="D34">
        <f>COUNTIFS('Data Set '!S:S,"Cancelled",'Data Set '!G:G,"National")</f>
        <v>22</v>
      </c>
    </row>
    <row r="35" spans="1:4" x14ac:dyDescent="0.35">
      <c r="A35" s="15" t="s">
        <v>118</v>
      </c>
      <c r="B35">
        <f>COUNTIFS('Data Set '!P:P,"Premium Economy",'Data Set '!G:G,"National")</f>
        <v>15</v>
      </c>
    </row>
    <row r="40" spans="1:4" x14ac:dyDescent="0.35">
      <c r="A40" t="s">
        <v>729</v>
      </c>
      <c r="B40">
        <f>SUM(B32:B39)</f>
        <v>144</v>
      </c>
      <c r="C40" t="s">
        <v>729</v>
      </c>
      <c r="D40">
        <f>SUM(D32:D39)</f>
        <v>144</v>
      </c>
    </row>
    <row r="42" spans="1:4" x14ac:dyDescent="0.35">
      <c r="A42" t="s">
        <v>82</v>
      </c>
      <c r="C42" t="s">
        <v>731</v>
      </c>
    </row>
    <row r="43" spans="1:4" x14ac:dyDescent="0.35">
      <c r="A43" s="14" t="s">
        <v>106</v>
      </c>
      <c r="B43">
        <f>COUNTIFS('Data Set '!P:P,"First",'Data Set '!G:G,"International")</f>
        <v>42</v>
      </c>
      <c r="C43" s="15" t="s">
        <v>94</v>
      </c>
      <c r="D43">
        <f>COUNTIFS('Data Set '!S:S,"On Time",'Data Set '!G:G,"International")</f>
        <v>207</v>
      </c>
    </row>
    <row r="44" spans="1:4" x14ac:dyDescent="0.35">
      <c r="A44" s="15" t="s">
        <v>93</v>
      </c>
      <c r="B44">
        <f>COUNTIFS('Data Set '!P:P,"Economy",'Data Set '!G:G,"International")</f>
        <v>91</v>
      </c>
      <c r="C44" s="14" t="s">
        <v>101</v>
      </c>
      <c r="D44">
        <f>COUNTIFS('Data Set '!S:S,"Delayed",'Data Set '!G:G,"International")</f>
        <v>67</v>
      </c>
    </row>
    <row r="45" spans="1:4" x14ac:dyDescent="0.35">
      <c r="A45" s="14" t="s">
        <v>100</v>
      </c>
      <c r="B45">
        <f>COUNTIFS('Data Set '!P:P,"Business",'Data Set '!G:G,"International")</f>
        <v>161</v>
      </c>
      <c r="C45" s="16" t="s">
        <v>111</v>
      </c>
      <c r="D45">
        <f>COUNTIFS('Data Set '!S:S,"Cancelled",'Data Set '!G:G,"International")</f>
        <v>82</v>
      </c>
    </row>
    <row r="46" spans="1:4" x14ac:dyDescent="0.35">
      <c r="A46" s="15" t="s">
        <v>118</v>
      </c>
      <c r="B46">
        <f>COUNTIFS('Data Set '!P:P,"Premium Economy",'Data Set '!G:G,"International")</f>
        <v>62</v>
      </c>
    </row>
    <row r="49" spans="1:4" x14ac:dyDescent="0.35">
      <c r="A49" t="s">
        <v>729</v>
      </c>
      <c r="B49">
        <f>SUM(B41:B48)</f>
        <v>356</v>
      </c>
      <c r="C49" t="s">
        <v>729</v>
      </c>
      <c r="D49">
        <f>SUM(D41:D48)</f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754E-B2E5-4F81-9787-B38C12B9DFE1}">
  <dimension ref="A1:W501"/>
  <sheetViews>
    <sheetView workbookViewId="0">
      <selection activeCell="S8" sqref="S8"/>
    </sheetView>
  </sheetViews>
  <sheetFormatPr defaultColWidth="15.90625" defaultRowHeight="14.5" x14ac:dyDescent="0.35"/>
  <cols>
    <col min="2" max="2" width="17.08984375" customWidth="1"/>
    <col min="3" max="3" width="5.81640625" customWidth="1"/>
    <col min="4" max="4" width="8.90625" customWidth="1"/>
    <col min="6" max="6" width="0" style="11" hidden="1" customWidth="1"/>
    <col min="8" max="8" width="17.6328125" hidden="1" customWidth="1"/>
    <col min="9" max="12" width="15.90625" hidden="1" customWidth="1"/>
    <col min="13" max="13" width="16.08984375" hidden="1" customWidth="1"/>
    <col min="14" max="15" width="15.90625" hidden="1" customWidth="1"/>
    <col min="16" max="16" width="0" hidden="1" customWidth="1"/>
    <col min="17" max="17" width="17.453125" hidden="1" customWidth="1"/>
    <col min="18" max="18" width="19.453125" hidden="1" customWidth="1"/>
    <col min="21" max="21" width="17.36328125" customWidth="1"/>
    <col min="22" max="22" width="16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</row>
    <row r="2" spans="1:23" x14ac:dyDescent="0.35">
      <c r="A2" s="2" t="s">
        <v>9</v>
      </c>
      <c r="B2" s="2" t="s">
        <v>10</v>
      </c>
      <c r="C2" s="2">
        <v>34</v>
      </c>
      <c r="D2" s="2" t="s">
        <v>11</v>
      </c>
      <c r="E2" s="2" t="s">
        <v>12</v>
      </c>
      <c r="F2" s="12" t="s">
        <v>717</v>
      </c>
      <c r="G2" s="2" t="s">
        <v>13</v>
      </c>
      <c r="H2" s="2" t="s">
        <v>14</v>
      </c>
      <c r="I2" s="2" t="s">
        <v>15</v>
      </c>
      <c r="J2" s="2" t="s">
        <v>90</v>
      </c>
      <c r="K2" s="2" t="s">
        <v>91</v>
      </c>
      <c r="L2" s="6">
        <v>45659</v>
      </c>
      <c r="M2" s="8">
        <v>0.27083333333333331</v>
      </c>
      <c r="N2" s="8">
        <v>0.38541666666666669</v>
      </c>
      <c r="O2" s="2" t="s">
        <v>92</v>
      </c>
      <c r="P2" s="2" t="s">
        <v>93</v>
      </c>
      <c r="Q2" s="2">
        <v>145</v>
      </c>
      <c r="R2" s="2">
        <v>18.5</v>
      </c>
      <c r="S2" s="2" t="s">
        <v>94</v>
      </c>
      <c r="T2" s="2">
        <v>0</v>
      </c>
      <c r="U2" s="2" t="s">
        <v>95</v>
      </c>
      <c r="V2" s="2" t="s">
        <v>96</v>
      </c>
      <c r="W2" s="2">
        <v>2200</v>
      </c>
    </row>
    <row r="3" spans="1:23" x14ac:dyDescent="0.35">
      <c r="A3" s="2" t="s">
        <v>16</v>
      </c>
      <c r="B3" s="2" t="s">
        <v>17</v>
      </c>
      <c r="C3" s="2">
        <v>29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97</v>
      </c>
      <c r="K3" s="2" t="s">
        <v>98</v>
      </c>
      <c r="L3" s="6">
        <v>45660</v>
      </c>
      <c r="M3" s="8">
        <v>0.45833333333333331</v>
      </c>
      <c r="N3" s="8">
        <v>0.61458333333333337</v>
      </c>
      <c r="O3" s="2" t="s">
        <v>99</v>
      </c>
      <c r="P3" s="2" t="s">
        <v>100</v>
      </c>
      <c r="Q3" s="2">
        <v>860</v>
      </c>
      <c r="R3" s="2">
        <v>24</v>
      </c>
      <c r="S3" s="2" t="s">
        <v>101</v>
      </c>
      <c r="T3" s="2">
        <v>45</v>
      </c>
      <c r="U3" s="2" t="s">
        <v>102</v>
      </c>
      <c r="V3" s="2" t="s">
        <v>103</v>
      </c>
      <c r="W3" s="2">
        <v>8400</v>
      </c>
    </row>
    <row r="4" spans="1:23" x14ac:dyDescent="0.35">
      <c r="A4" s="2" t="s">
        <v>24</v>
      </c>
      <c r="B4" s="2" t="s">
        <v>25</v>
      </c>
      <c r="C4" s="2">
        <v>41</v>
      </c>
      <c r="D4" s="2" t="s">
        <v>11</v>
      </c>
      <c r="E4" s="2" t="s">
        <v>26</v>
      </c>
      <c r="F4" s="2" t="s">
        <v>27</v>
      </c>
      <c r="G4" s="2" t="s">
        <v>21</v>
      </c>
      <c r="H4" s="2" t="s">
        <v>15</v>
      </c>
      <c r="I4" s="2" t="s">
        <v>28</v>
      </c>
      <c r="J4" s="2" t="s">
        <v>91</v>
      </c>
      <c r="K4" s="2" t="s">
        <v>104</v>
      </c>
      <c r="L4" s="6">
        <v>45661</v>
      </c>
      <c r="M4" s="8">
        <v>5.5555555555555552E-2</v>
      </c>
      <c r="N4" s="8">
        <v>0.41319444444444442</v>
      </c>
      <c r="O4" s="2" t="s">
        <v>105</v>
      </c>
      <c r="P4" s="2" t="s">
        <v>106</v>
      </c>
      <c r="Q4" s="2">
        <v>2450</v>
      </c>
      <c r="R4" s="2">
        <v>30.2</v>
      </c>
      <c r="S4" s="2" t="s">
        <v>94</v>
      </c>
      <c r="T4" s="2">
        <v>0</v>
      </c>
      <c r="U4" s="2" t="s">
        <v>107</v>
      </c>
      <c r="V4" s="2" t="s">
        <v>96</v>
      </c>
      <c r="W4" s="2">
        <v>13200</v>
      </c>
    </row>
    <row r="5" spans="1:23" x14ac:dyDescent="0.35">
      <c r="A5" s="2" t="s">
        <v>29</v>
      </c>
      <c r="B5" s="2" t="s">
        <v>30</v>
      </c>
      <c r="C5" s="2">
        <v>25</v>
      </c>
      <c r="D5" s="2" t="s">
        <v>18</v>
      </c>
      <c r="E5" s="2" t="s">
        <v>31</v>
      </c>
      <c r="F5" s="2" t="s">
        <v>32</v>
      </c>
      <c r="G5" s="2" t="s">
        <v>21</v>
      </c>
      <c r="H5" s="2" t="s">
        <v>33</v>
      </c>
      <c r="I5" s="2" t="s">
        <v>34</v>
      </c>
      <c r="J5" s="2" t="s">
        <v>108</v>
      </c>
      <c r="K5" s="2" t="s">
        <v>109</v>
      </c>
      <c r="L5" s="6">
        <v>45662</v>
      </c>
      <c r="M5" s="8">
        <v>0.34027777777777779</v>
      </c>
      <c r="N5" s="8">
        <v>0.58333333333333337</v>
      </c>
      <c r="O5" s="2" t="s">
        <v>110</v>
      </c>
      <c r="P5" s="2" t="s">
        <v>93</v>
      </c>
      <c r="Q5" s="2">
        <v>420</v>
      </c>
      <c r="R5" s="2">
        <v>15.6</v>
      </c>
      <c r="S5" s="2" t="s">
        <v>111</v>
      </c>
      <c r="T5" s="2">
        <v>0</v>
      </c>
      <c r="U5" s="2" t="s">
        <v>95</v>
      </c>
      <c r="V5" s="2" t="s">
        <v>112</v>
      </c>
      <c r="W5" s="2">
        <v>3500</v>
      </c>
    </row>
    <row r="6" spans="1:23" x14ac:dyDescent="0.35">
      <c r="A6" s="2" t="s">
        <v>35</v>
      </c>
      <c r="B6" s="2" t="s">
        <v>36</v>
      </c>
      <c r="C6" s="2">
        <v>38</v>
      </c>
      <c r="D6" s="2" t="s">
        <v>11</v>
      </c>
      <c r="E6" s="2" t="s">
        <v>37</v>
      </c>
      <c r="F6" s="2" t="s">
        <v>38</v>
      </c>
      <c r="G6" s="2" t="s">
        <v>21</v>
      </c>
      <c r="H6" s="2" t="s">
        <v>39</v>
      </c>
      <c r="I6" s="2" t="s">
        <v>40</v>
      </c>
      <c r="J6" s="2" t="s">
        <v>113</v>
      </c>
      <c r="K6" s="2" t="s">
        <v>114</v>
      </c>
      <c r="L6" s="6">
        <v>45663</v>
      </c>
      <c r="M6" s="8">
        <v>0.91666666666666663</v>
      </c>
      <c r="N6" s="8">
        <v>0.57291666666666663</v>
      </c>
      <c r="O6" s="2" t="s">
        <v>115</v>
      </c>
      <c r="P6" s="2" t="s">
        <v>100</v>
      </c>
      <c r="Q6" s="2">
        <v>1980</v>
      </c>
      <c r="R6" s="2">
        <v>27.5</v>
      </c>
      <c r="S6" s="2" t="s">
        <v>94</v>
      </c>
      <c r="T6" s="2">
        <v>0</v>
      </c>
      <c r="U6" s="2" t="s">
        <v>102</v>
      </c>
      <c r="V6" s="2" t="s">
        <v>103</v>
      </c>
      <c r="W6" s="2">
        <v>9700</v>
      </c>
    </row>
    <row r="7" spans="1:23" x14ac:dyDescent="0.35">
      <c r="A7" s="2" t="s">
        <v>41</v>
      </c>
      <c r="B7" s="2" t="s">
        <v>42</v>
      </c>
      <c r="C7" s="2">
        <v>31</v>
      </c>
      <c r="D7" s="2" t="s">
        <v>18</v>
      </c>
      <c r="E7" s="2" t="s">
        <v>43</v>
      </c>
      <c r="F7" s="2" t="s">
        <v>44</v>
      </c>
      <c r="G7" s="2" t="s">
        <v>21</v>
      </c>
      <c r="H7" s="2" t="s">
        <v>15</v>
      </c>
      <c r="I7" s="2" t="s">
        <v>45</v>
      </c>
      <c r="J7" s="2" t="s">
        <v>91</v>
      </c>
      <c r="K7" s="2" t="s">
        <v>116</v>
      </c>
      <c r="L7" s="6">
        <v>45664</v>
      </c>
      <c r="M7" s="8">
        <v>0.15625</v>
      </c>
      <c r="N7" s="8">
        <v>0.47222222222222221</v>
      </c>
      <c r="O7" s="2" t="s">
        <v>117</v>
      </c>
      <c r="P7" s="2" t="s">
        <v>118</v>
      </c>
      <c r="Q7" s="2">
        <v>980</v>
      </c>
      <c r="R7" s="2">
        <v>19.3</v>
      </c>
      <c r="S7" s="2" t="s">
        <v>101</v>
      </c>
      <c r="T7" s="2">
        <v>30</v>
      </c>
      <c r="U7" s="2" t="s">
        <v>95</v>
      </c>
      <c r="V7" s="2" t="s">
        <v>96</v>
      </c>
      <c r="W7" s="2">
        <v>5400</v>
      </c>
    </row>
    <row r="8" spans="1:23" x14ac:dyDescent="0.35">
      <c r="A8" s="2" t="s">
        <v>46</v>
      </c>
      <c r="B8" s="2" t="s">
        <v>47</v>
      </c>
      <c r="C8" s="2">
        <v>45</v>
      </c>
      <c r="D8" s="2" t="s">
        <v>11</v>
      </c>
      <c r="E8" s="2" t="s">
        <v>48</v>
      </c>
      <c r="F8" s="2" t="s">
        <v>49</v>
      </c>
      <c r="G8" s="2" t="s">
        <v>21</v>
      </c>
      <c r="H8" s="2" t="s">
        <v>14</v>
      </c>
      <c r="I8" s="2" t="s">
        <v>28</v>
      </c>
      <c r="J8" s="2" t="s">
        <v>90</v>
      </c>
      <c r="K8" s="2" t="s">
        <v>104</v>
      </c>
      <c r="L8" s="6">
        <v>45665</v>
      </c>
      <c r="M8" s="8">
        <v>0.42708333333333331</v>
      </c>
      <c r="N8" s="8">
        <v>0.77083333333333337</v>
      </c>
      <c r="O8" s="2" t="s">
        <v>119</v>
      </c>
      <c r="P8" s="2" t="s">
        <v>100</v>
      </c>
      <c r="Q8" s="2">
        <v>1650</v>
      </c>
      <c r="R8" s="2">
        <v>26.8</v>
      </c>
      <c r="S8" s="2" t="s">
        <v>94</v>
      </c>
      <c r="T8" s="2">
        <v>0</v>
      </c>
      <c r="U8" s="2" t="s">
        <v>107</v>
      </c>
      <c r="V8" s="2" t="s">
        <v>103</v>
      </c>
      <c r="W8" s="2">
        <v>11000</v>
      </c>
    </row>
    <row r="9" spans="1:23" x14ac:dyDescent="0.35">
      <c r="A9" s="2" t="s">
        <v>50</v>
      </c>
      <c r="B9" s="2" t="s">
        <v>51</v>
      </c>
      <c r="C9" s="2">
        <v>27</v>
      </c>
      <c r="D9" s="2" t="s">
        <v>18</v>
      </c>
      <c r="E9" s="2" t="s">
        <v>52</v>
      </c>
      <c r="F9" s="2" t="s">
        <v>53</v>
      </c>
      <c r="G9" s="2" t="s">
        <v>21</v>
      </c>
      <c r="H9" s="2" t="s">
        <v>22</v>
      </c>
      <c r="I9" s="2" t="s">
        <v>40</v>
      </c>
      <c r="J9" s="2" t="s">
        <v>97</v>
      </c>
      <c r="K9" s="2" t="s">
        <v>114</v>
      </c>
      <c r="L9" s="6">
        <v>45666</v>
      </c>
      <c r="M9" s="8">
        <v>0.24305555555555555</v>
      </c>
      <c r="N9" s="8">
        <v>0.72222222222222221</v>
      </c>
      <c r="O9" s="2" t="s">
        <v>120</v>
      </c>
      <c r="P9" s="2" t="s">
        <v>93</v>
      </c>
      <c r="Q9" s="2">
        <v>740</v>
      </c>
      <c r="R9" s="2">
        <v>17.2</v>
      </c>
      <c r="S9" s="2" t="s">
        <v>111</v>
      </c>
      <c r="T9" s="2">
        <v>0</v>
      </c>
      <c r="U9" s="2" t="s">
        <v>95</v>
      </c>
      <c r="V9" s="2" t="s">
        <v>96</v>
      </c>
      <c r="W9" s="2">
        <v>4100</v>
      </c>
    </row>
    <row r="10" spans="1:23" x14ac:dyDescent="0.35">
      <c r="A10" s="2" t="s">
        <v>54</v>
      </c>
      <c r="B10" s="2" t="s">
        <v>55</v>
      </c>
      <c r="C10" s="2">
        <v>36</v>
      </c>
      <c r="D10" s="2" t="s">
        <v>11</v>
      </c>
      <c r="E10" s="2" t="s">
        <v>12</v>
      </c>
      <c r="F10" s="4" t="s">
        <v>56</v>
      </c>
      <c r="G10" s="2" t="s">
        <v>13</v>
      </c>
      <c r="H10" s="2" t="s">
        <v>57</v>
      </c>
      <c r="I10" s="2" t="s">
        <v>33</v>
      </c>
      <c r="J10" s="2" t="s">
        <v>121</v>
      </c>
      <c r="K10" s="2" t="s">
        <v>108</v>
      </c>
      <c r="L10" s="6">
        <v>45667</v>
      </c>
      <c r="M10" s="8">
        <v>0.60069444444444442</v>
      </c>
      <c r="N10" s="8">
        <v>0.71527777777777779</v>
      </c>
      <c r="O10" s="2" t="s">
        <v>122</v>
      </c>
      <c r="P10" s="2" t="s">
        <v>93</v>
      </c>
      <c r="Q10" s="2">
        <v>125</v>
      </c>
      <c r="R10" s="2">
        <v>12</v>
      </c>
      <c r="S10" s="2" t="s">
        <v>94</v>
      </c>
      <c r="T10" s="2">
        <v>0</v>
      </c>
      <c r="U10" s="2" t="s">
        <v>102</v>
      </c>
      <c r="V10" s="2" t="s">
        <v>103</v>
      </c>
      <c r="W10" s="2">
        <v>1800</v>
      </c>
    </row>
    <row r="11" spans="1:23" x14ac:dyDescent="0.35">
      <c r="A11" s="2" t="s">
        <v>58</v>
      </c>
      <c r="B11" s="2" t="s">
        <v>59</v>
      </c>
      <c r="C11" s="2">
        <v>30</v>
      </c>
      <c r="D11" s="2" t="s">
        <v>18</v>
      </c>
      <c r="E11" s="2" t="s">
        <v>19</v>
      </c>
      <c r="F11" s="2" t="s">
        <v>60</v>
      </c>
      <c r="G11" s="2" t="s">
        <v>13</v>
      </c>
      <c r="H11" s="2" t="s">
        <v>15</v>
      </c>
      <c r="I11" s="2" t="s">
        <v>14</v>
      </c>
      <c r="J11" s="2" t="s">
        <v>91</v>
      </c>
      <c r="K11" s="2" t="s">
        <v>90</v>
      </c>
      <c r="L11" s="6">
        <v>45668</v>
      </c>
      <c r="M11" s="8">
        <v>0.40277777777777779</v>
      </c>
      <c r="N11" s="8">
        <v>0.51736111111111116</v>
      </c>
      <c r="O11" s="2" t="s">
        <v>123</v>
      </c>
      <c r="P11" s="2" t="s">
        <v>118</v>
      </c>
      <c r="Q11" s="2">
        <v>310</v>
      </c>
      <c r="R11" s="2">
        <v>20.5</v>
      </c>
      <c r="S11" s="2" t="s">
        <v>101</v>
      </c>
      <c r="T11" s="2">
        <v>35</v>
      </c>
      <c r="U11" s="2" t="s">
        <v>95</v>
      </c>
      <c r="V11" s="2" t="s">
        <v>96</v>
      </c>
      <c r="W11" s="2">
        <v>6200</v>
      </c>
    </row>
    <row r="12" spans="1:23" x14ac:dyDescent="0.35">
      <c r="A12" s="2" t="s">
        <v>61</v>
      </c>
      <c r="B12" s="2" t="s">
        <v>62</v>
      </c>
      <c r="C12" s="2">
        <v>52</v>
      </c>
      <c r="D12" s="2" t="s">
        <v>11</v>
      </c>
      <c r="E12" s="2" t="s">
        <v>26</v>
      </c>
      <c r="F12" s="2" t="s">
        <v>63</v>
      </c>
      <c r="G12" s="2" t="s">
        <v>21</v>
      </c>
      <c r="H12" s="2" t="s">
        <v>22</v>
      </c>
      <c r="I12" s="2" t="s">
        <v>23</v>
      </c>
      <c r="J12" t="s">
        <v>97</v>
      </c>
      <c r="K12" t="s">
        <v>98</v>
      </c>
      <c r="L12" s="5">
        <v>45669</v>
      </c>
      <c r="M12" s="7">
        <v>0.96875</v>
      </c>
      <c r="N12" s="7">
        <v>0.12152777777777778</v>
      </c>
      <c r="O12" t="s">
        <v>124</v>
      </c>
      <c r="P12" t="s">
        <v>100</v>
      </c>
      <c r="Q12">
        <v>1200</v>
      </c>
      <c r="R12">
        <v>28</v>
      </c>
      <c r="S12" t="s">
        <v>94</v>
      </c>
      <c r="T12">
        <v>0</v>
      </c>
      <c r="U12" t="s">
        <v>107</v>
      </c>
      <c r="V12" t="s">
        <v>125</v>
      </c>
      <c r="W12">
        <v>14000</v>
      </c>
    </row>
    <row r="13" spans="1:23" x14ac:dyDescent="0.35">
      <c r="A13" s="2" t="s">
        <v>64</v>
      </c>
      <c r="B13" s="2" t="s">
        <v>65</v>
      </c>
      <c r="C13" s="2">
        <v>24</v>
      </c>
      <c r="D13" s="2" t="s">
        <v>18</v>
      </c>
      <c r="E13" s="2" t="s">
        <v>12</v>
      </c>
      <c r="F13" s="4" t="s">
        <v>66</v>
      </c>
      <c r="G13" s="2" t="s">
        <v>13</v>
      </c>
      <c r="H13" s="2" t="s">
        <v>39</v>
      </c>
      <c r="I13" s="2" t="s">
        <v>15</v>
      </c>
      <c r="J13" t="s">
        <v>113</v>
      </c>
      <c r="K13" t="s">
        <v>91</v>
      </c>
      <c r="L13" s="5">
        <v>45670</v>
      </c>
      <c r="M13" s="7">
        <v>0.25694444444444442</v>
      </c>
      <c r="N13" s="7">
        <v>0.3611111111111111</v>
      </c>
      <c r="O13" t="s">
        <v>126</v>
      </c>
      <c r="P13" t="s">
        <v>93</v>
      </c>
      <c r="Q13">
        <v>160</v>
      </c>
      <c r="R13">
        <v>10.4</v>
      </c>
      <c r="S13" t="s">
        <v>111</v>
      </c>
      <c r="T13">
        <v>0</v>
      </c>
      <c r="U13" t="s">
        <v>102</v>
      </c>
      <c r="V13" t="s">
        <v>112</v>
      </c>
      <c r="W13">
        <v>900</v>
      </c>
    </row>
    <row r="14" spans="1:23" x14ac:dyDescent="0.35">
      <c r="A14" s="2" t="s">
        <v>67</v>
      </c>
      <c r="B14" s="2" t="s">
        <v>68</v>
      </c>
      <c r="C14" s="2">
        <v>40</v>
      </c>
      <c r="D14" s="2" t="s">
        <v>11</v>
      </c>
      <c r="E14" s="2" t="s">
        <v>37</v>
      </c>
      <c r="F14" s="2" t="s">
        <v>69</v>
      </c>
      <c r="G14" s="2" t="s">
        <v>21</v>
      </c>
      <c r="H14" s="2" t="s">
        <v>33</v>
      </c>
      <c r="I14" s="2" t="s">
        <v>34</v>
      </c>
      <c r="J14" t="s">
        <v>108</v>
      </c>
      <c r="K14" t="s">
        <v>109</v>
      </c>
      <c r="L14" s="5">
        <v>45671</v>
      </c>
      <c r="M14" s="7">
        <v>0.84722222222222221</v>
      </c>
      <c r="N14" s="7">
        <v>9.0277777777777776E-2</v>
      </c>
      <c r="O14" t="s">
        <v>127</v>
      </c>
      <c r="P14" t="s">
        <v>100</v>
      </c>
      <c r="Q14">
        <v>1340</v>
      </c>
      <c r="R14">
        <v>22.6</v>
      </c>
      <c r="S14" t="s">
        <v>94</v>
      </c>
      <c r="T14">
        <v>0</v>
      </c>
      <c r="U14" t="s">
        <v>95</v>
      </c>
      <c r="V14" t="s">
        <v>103</v>
      </c>
      <c r="W14">
        <v>8700</v>
      </c>
    </row>
    <row r="15" spans="1:23" x14ac:dyDescent="0.35">
      <c r="A15" t="s">
        <v>70</v>
      </c>
      <c r="B15" t="s">
        <v>71</v>
      </c>
      <c r="C15">
        <v>33</v>
      </c>
      <c r="D15" t="s">
        <v>18</v>
      </c>
      <c r="E15" t="s">
        <v>43</v>
      </c>
      <c r="F15" t="s">
        <v>72</v>
      </c>
      <c r="G15" t="s">
        <v>21</v>
      </c>
      <c r="H15" t="s">
        <v>15</v>
      </c>
      <c r="I15" t="s">
        <v>40</v>
      </c>
      <c r="J15" t="s">
        <v>91</v>
      </c>
      <c r="K15" t="s">
        <v>114</v>
      </c>
      <c r="L15" s="5">
        <v>45672</v>
      </c>
      <c r="M15" s="7">
        <v>0.11805555555555555</v>
      </c>
      <c r="N15" s="7">
        <v>0.64583333333333337</v>
      </c>
      <c r="O15" t="s">
        <v>128</v>
      </c>
      <c r="P15" t="s">
        <v>106</v>
      </c>
      <c r="Q15">
        <v>2600</v>
      </c>
      <c r="R15">
        <v>31.4</v>
      </c>
      <c r="S15" t="s">
        <v>101</v>
      </c>
      <c r="T15">
        <v>90</v>
      </c>
      <c r="U15" t="s">
        <v>107</v>
      </c>
      <c r="V15" t="s">
        <v>96</v>
      </c>
      <c r="W15">
        <v>15000</v>
      </c>
    </row>
    <row r="16" spans="1:23" x14ac:dyDescent="0.35">
      <c r="A16" t="s">
        <v>73</v>
      </c>
      <c r="B16" t="s">
        <v>74</v>
      </c>
      <c r="C16">
        <v>47</v>
      </c>
      <c r="D16" t="s">
        <v>11</v>
      </c>
      <c r="E16" t="s">
        <v>19</v>
      </c>
      <c r="F16" t="s">
        <v>75</v>
      </c>
      <c r="G16" t="s">
        <v>21</v>
      </c>
      <c r="H16" t="s">
        <v>14</v>
      </c>
      <c r="I16" t="s">
        <v>23</v>
      </c>
      <c r="J16" t="s">
        <v>90</v>
      </c>
      <c r="K16" t="s">
        <v>98</v>
      </c>
      <c r="L16" s="5">
        <v>45673</v>
      </c>
      <c r="M16" s="7">
        <v>0.54513888888888884</v>
      </c>
      <c r="N16" s="7">
        <v>0.71875</v>
      </c>
      <c r="O16" t="s">
        <v>129</v>
      </c>
      <c r="P16" t="s">
        <v>93</v>
      </c>
      <c r="Q16">
        <v>390</v>
      </c>
      <c r="R16">
        <v>16.100000000000001</v>
      </c>
      <c r="S16" t="s">
        <v>94</v>
      </c>
      <c r="T16">
        <v>0</v>
      </c>
      <c r="U16" t="s">
        <v>95</v>
      </c>
      <c r="V16" t="s">
        <v>103</v>
      </c>
      <c r="W16">
        <v>3000</v>
      </c>
    </row>
    <row r="17" spans="1:23" x14ac:dyDescent="0.35">
      <c r="A17" t="s">
        <v>130</v>
      </c>
      <c r="B17" t="s">
        <v>131</v>
      </c>
      <c r="C17">
        <v>28</v>
      </c>
      <c r="D17" t="s">
        <v>18</v>
      </c>
      <c r="E17" t="s">
        <v>52</v>
      </c>
      <c r="F17" t="s">
        <v>132</v>
      </c>
      <c r="G17" t="s">
        <v>21</v>
      </c>
      <c r="H17" t="s">
        <v>33</v>
      </c>
      <c r="I17" t="s">
        <v>28</v>
      </c>
      <c r="J17" t="s">
        <v>108</v>
      </c>
      <c r="K17" t="s">
        <v>104</v>
      </c>
      <c r="L17" s="5">
        <v>45674</v>
      </c>
      <c r="M17" s="7">
        <v>0.32291666666666669</v>
      </c>
      <c r="N17" s="7">
        <v>0.75694444444444442</v>
      </c>
      <c r="O17" t="s">
        <v>133</v>
      </c>
      <c r="P17" t="s">
        <v>118</v>
      </c>
      <c r="Q17">
        <v>980</v>
      </c>
      <c r="R17">
        <v>21</v>
      </c>
      <c r="S17" t="s">
        <v>111</v>
      </c>
      <c r="T17">
        <v>0</v>
      </c>
      <c r="U17" t="s">
        <v>102</v>
      </c>
      <c r="V17" t="s">
        <v>96</v>
      </c>
      <c r="W17">
        <v>7200</v>
      </c>
    </row>
    <row r="18" spans="1:23" x14ac:dyDescent="0.35">
      <c r="A18" t="s">
        <v>134</v>
      </c>
      <c r="B18" t="s">
        <v>135</v>
      </c>
      <c r="C18">
        <v>39</v>
      </c>
      <c r="D18" t="s">
        <v>11</v>
      </c>
      <c r="E18" t="s">
        <v>12</v>
      </c>
      <c r="F18" s="3" t="s">
        <v>136</v>
      </c>
      <c r="G18" t="s">
        <v>13</v>
      </c>
      <c r="H18" t="s">
        <v>15</v>
      </c>
      <c r="I18" t="s">
        <v>22</v>
      </c>
      <c r="J18" t="s">
        <v>91</v>
      </c>
      <c r="K18" t="s">
        <v>97</v>
      </c>
      <c r="L18" s="5">
        <v>45675</v>
      </c>
      <c r="M18" s="7">
        <v>0.47916666666666669</v>
      </c>
      <c r="N18" s="7">
        <v>0.56944444444444442</v>
      </c>
      <c r="O18" t="s">
        <v>137</v>
      </c>
      <c r="P18" t="s">
        <v>93</v>
      </c>
      <c r="Q18">
        <v>110</v>
      </c>
      <c r="R18">
        <v>8.6</v>
      </c>
      <c r="S18" t="s">
        <v>94</v>
      </c>
      <c r="T18">
        <v>0</v>
      </c>
      <c r="U18" t="s">
        <v>95</v>
      </c>
      <c r="V18" t="s">
        <v>103</v>
      </c>
      <c r="W18">
        <v>1500</v>
      </c>
    </row>
    <row r="19" spans="1:23" x14ac:dyDescent="0.35">
      <c r="A19" t="s">
        <v>138</v>
      </c>
      <c r="B19" t="s">
        <v>139</v>
      </c>
      <c r="C19">
        <v>26</v>
      </c>
      <c r="D19" t="s">
        <v>18</v>
      </c>
      <c r="E19" t="s">
        <v>19</v>
      </c>
      <c r="F19" t="s">
        <v>140</v>
      </c>
      <c r="G19" t="s">
        <v>13</v>
      </c>
      <c r="H19" t="s">
        <v>57</v>
      </c>
      <c r="I19" t="s">
        <v>39</v>
      </c>
      <c r="J19" t="s">
        <v>121</v>
      </c>
      <c r="K19" t="s">
        <v>113</v>
      </c>
      <c r="L19" s="5">
        <v>45676</v>
      </c>
      <c r="M19" s="7">
        <v>0.66666666666666663</v>
      </c>
      <c r="N19" s="7">
        <v>0.76736111111111116</v>
      </c>
      <c r="O19" t="s">
        <v>141</v>
      </c>
      <c r="P19" t="s">
        <v>93</v>
      </c>
      <c r="Q19">
        <v>140</v>
      </c>
      <c r="R19">
        <v>11.2</v>
      </c>
      <c r="S19" t="s">
        <v>101</v>
      </c>
      <c r="T19">
        <v>20</v>
      </c>
      <c r="U19" t="s">
        <v>95</v>
      </c>
      <c r="V19" t="s">
        <v>96</v>
      </c>
      <c r="W19">
        <v>2700</v>
      </c>
    </row>
    <row r="20" spans="1:23" x14ac:dyDescent="0.35">
      <c r="A20" t="s">
        <v>142</v>
      </c>
      <c r="B20" t="s">
        <v>143</v>
      </c>
      <c r="C20">
        <v>50</v>
      </c>
      <c r="D20" t="s">
        <v>11</v>
      </c>
      <c r="E20" t="s">
        <v>26</v>
      </c>
      <c r="F20" t="s">
        <v>144</v>
      </c>
      <c r="G20" t="s">
        <v>21</v>
      </c>
      <c r="H20" t="s">
        <v>14</v>
      </c>
      <c r="I20" t="s">
        <v>34</v>
      </c>
      <c r="J20" t="s">
        <v>90</v>
      </c>
      <c r="K20" t="s">
        <v>109</v>
      </c>
      <c r="L20" s="5">
        <v>45677</v>
      </c>
      <c r="M20" s="7">
        <v>0.88194444444444442</v>
      </c>
      <c r="N20" s="7">
        <v>0.2013888888888889</v>
      </c>
      <c r="O20" t="s">
        <v>145</v>
      </c>
      <c r="P20" t="s">
        <v>100</v>
      </c>
      <c r="Q20">
        <v>1450</v>
      </c>
      <c r="R20">
        <v>25.9</v>
      </c>
      <c r="S20" t="s">
        <v>94</v>
      </c>
      <c r="T20">
        <v>0</v>
      </c>
      <c r="U20" t="s">
        <v>107</v>
      </c>
      <c r="V20" t="s">
        <v>125</v>
      </c>
      <c r="W20">
        <v>11800</v>
      </c>
    </row>
    <row r="21" spans="1:23" x14ac:dyDescent="0.35">
      <c r="A21" t="s">
        <v>146</v>
      </c>
      <c r="B21" t="s">
        <v>147</v>
      </c>
      <c r="C21">
        <v>23</v>
      </c>
      <c r="D21" t="s">
        <v>18</v>
      </c>
      <c r="E21" t="s">
        <v>31</v>
      </c>
      <c r="F21" t="s">
        <v>148</v>
      </c>
      <c r="G21" t="s">
        <v>21</v>
      </c>
      <c r="H21" t="s">
        <v>15</v>
      </c>
      <c r="I21" t="s">
        <v>23</v>
      </c>
      <c r="J21" t="s">
        <v>91</v>
      </c>
      <c r="K21" t="s">
        <v>98</v>
      </c>
      <c r="L21" s="5">
        <v>45678</v>
      </c>
      <c r="M21" s="7">
        <v>0.18402777777777779</v>
      </c>
      <c r="N21" s="7">
        <v>0.33333333333333331</v>
      </c>
      <c r="O21" t="s">
        <v>149</v>
      </c>
      <c r="P21" t="s">
        <v>93</v>
      </c>
      <c r="Q21">
        <v>330</v>
      </c>
      <c r="R21">
        <v>13.5</v>
      </c>
      <c r="S21" t="s">
        <v>111</v>
      </c>
      <c r="T21">
        <v>0</v>
      </c>
      <c r="U21" t="s">
        <v>102</v>
      </c>
      <c r="V21" t="s">
        <v>112</v>
      </c>
      <c r="W21">
        <v>2100</v>
      </c>
    </row>
    <row r="22" spans="1:23" x14ac:dyDescent="0.35">
      <c r="A22" t="s">
        <v>150</v>
      </c>
      <c r="B22" t="s">
        <v>151</v>
      </c>
      <c r="C22">
        <v>42</v>
      </c>
      <c r="D22" t="s">
        <v>11</v>
      </c>
      <c r="E22" t="s">
        <v>12</v>
      </c>
      <c r="F22" s="13" t="s">
        <v>718</v>
      </c>
      <c r="G22" t="s">
        <v>13</v>
      </c>
      <c r="H22" t="s">
        <v>22</v>
      </c>
      <c r="I22" t="s">
        <v>57</v>
      </c>
      <c r="J22" t="s">
        <v>97</v>
      </c>
      <c r="K22" t="s">
        <v>121</v>
      </c>
      <c r="L22" s="5">
        <v>45689</v>
      </c>
      <c r="M22" s="7">
        <v>0.34027777777777779</v>
      </c>
      <c r="N22" s="7">
        <v>0.44791666666666669</v>
      </c>
      <c r="O22" t="s">
        <v>152</v>
      </c>
      <c r="P22" t="s">
        <v>93</v>
      </c>
      <c r="Q22">
        <v>130</v>
      </c>
      <c r="R22">
        <v>12.5</v>
      </c>
      <c r="S22" t="s">
        <v>94</v>
      </c>
      <c r="T22">
        <v>0</v>
      </c>
      <c r="U22" t="s">
        <v>95</v>
      </c>
      <c r="V22" t="s">
        <v>96</v>
      </c>
      <c r="W22">
        <v>2000</v>
      </c>
    </row>
    <row r="23" spans="1:23" x14ac:dyDescent="0.35">
      <c r="A23" t="s">
        <v>153</v>
      </c>
      <c r="B23" t="s">
        <v>154</v>
      </c>
      <c r="C23">
        <v>35</v>
      </c>
      <c r="D23" t="s">
        <v>18</v>
      </c>
      <c r="E23" t="s">
        <v>19</v>
      </c>
      <c r="F23" t="s">
        <v>155</v>
      </c>
      <c r="G23" t="s">
        <v>21</v>
      </c>
      <c r="H23" t="s">
        <v>15</v>
      </c>
      <c r="I23" t="s">
        <v>28</v>
      </c>
      <c r="J23" t="s">
        <v>91</v>
      </c>
      <c r="K23" t="s">
        <v>104</v>
      </c>
      <c r="L23" s="5">
        <v>45689</v>
      </c>
      <c r="M23" s="7">
        <v>5.5555555555555552E-2</v>
      </c>
      <c r="N23" s="7">
        <v>0.40277777777777779</v>
      </c>
      <c r="O23" t="s">
        <v>156</v>
      </c>
      <c r="P23" t="s">
        <v>100</v>
      </c>
      <c r="Q23">
        <v>1750</v>
      </c>
      <c r="R23">
        <v>25</v>
      </c>
      <c r="S23" t="s">
        <v>101</v>
      </c>
      <c r="T23">
        <v>40</v>
      </c>
      <c r="U23" t="s">
        <v>107</v>
      </c>
      <c r="V23" t="s">
        <v>103</v>
      </c>
      <c r="W23">
        <v>11200</v>
      </c>
    </row>
    <row r="24" spans="1:23" x14ac:dyDescent="0.35">
      <c r="A24" t="s">
        <v>157</v>
      </c>
      <c r="B24" t="s">
        <v>158</v>
      </c>
      <c r="C24">
        <v>44</v>
      </c>
      <c r="D24" t="s">
        <v>11</v>
      </c>
      <c r="E24" t="s">
        <v>26</v>
      </c>
      <c r="F24" t="s">
        <v>159</v>
      </c>
      <c r="G24" t="s">
        <v>21</v>
      </c>
      <c r="H24" t="s">
        <v>22</v>
      </c>
      <c r="I24" t="s">
        <v>23</v>
      </c>
      <c r="J24" t="s">
        <v>97</v>
      </c>
      <c r="K24" t="s">
        <v>98</v>
      </c>
      <c r="L24" s="5">
        <v>45690</v>
      </c>
      <c r="M24" s="7">
        <v>0.97916666666666663</v>
      </c>
      <c r="N24" s="7">
        <v>9.0277777777777776E-2</v>
      </c>
      <c r="O24" t="s">
        <v>160</v>
      </c>
      <c r="P24" t="s">
        <v>93</v>
      </c>
      <c r="Q24">
        <v>420</v>
      </c>
      <c r="R24">
        <v>18</v>
      </c>
      <c r="S24" t="s">
        <v>94</v>
      </c>
      <c r="T24">
        <v>0</v>
      </c>
      <c r="U24" t="s">
        <v>102</v>
      </c>
      <c r="V24" t="s">
        <v>96</v>
      </c>
      <c r="W24">
        <v>3200</v>
      </c>
    </row>
    <row r="25" spans="1:23" x14ac:dyDescent="0.35">
      <c r="A25" t="s">
        <v>161</v>
      </c>
      <c r="B25" t="s">
        <v>162</v>
      </c>
      <c r="C25">
        <v>31</v>
      </c>
      <c r="D25" t="s">
        <v>18</v>
      </c>
      <c r="E25" t="s">
        <v>31</v>
      </c>
      <c r="F25" t="s">
        <v>163</v>
      </c>
      <c r="G25" t="s">
        <v>21</v>
      </c>
      <c r="H25" t="s">
        <v>39</v>
      </c>
      <c r="I25" t="s">
        <v>34</v>
      </c>
      <c r="J25" t="s">
        <v>113</v>
      </c>
      <c r="K25" t="s">
        <v>109</v>
      </c>
      <c r="L25" s="5">
        <v>45690</v>
      </c>
      <c r="M25" s="7">
        <v>0.38541666666666669</v>
      </c>
      <c r="N25" s="7">
        <v>0.64583333333333337</v>
      </c>
      <c r="O25" t="s">
        <v>164</v>
      </c>
      <c r="P25" t="s">
        <v>118</v>
      </c>
      <c r="Q25">
        <v>780</v>
      </c>
      <c r="R25">
        <v>20.2</v>
      </c>
      <c r="S25" t="s">
        <v>101</v>
      </c>
      <c r="T25">
        <v>55</v>
      </c>
      <c r="U25" t="s">
        <v>95</v>
      </c>
      <c r="V25" t="s">
        <v>112</v>
      </c>
      <c r="W25">
        <v>6100</v>
      </c>
    </row>
    <row r="26" spans="1:23" x14ac:dyDescent="0.35">
      <c r="A26" t="s">
        <v>165</v>
      </c>
      <c r="B26" t="s">
        <v>166</v>
      </c>
      <c r="C26">
        <v>37</v>
      </c>
      <c r="D26" t="s">
        <v>11</v>
      </c>
      <c r="E26" t="s">
        <v>43</v>
      </c>
      <c r="F26" t="s">
        <v>167</v>
      </c>
      <c r="G26" t="s">
        <v>21</v>
      </c>
      <c r="H26" t="s">
        <v>15</v>
      </c>
      <c r="I26" t="s">
        <v>45</v>
      </c>
      <c r="J26" t="s">
        <v>91</v>
      </c>
      <c r="K26" t="s">
        <v>116</v>
      </c>
      <c r="L26" s="5">
        <v>45691</v>
      </c>
      <c r="M26" s="7">
        <v>0.15972222222222221</v>
      </c>
      <c r="N26" s="7">
        <v>0.46527777777777779</v>
      </c>
      <c r="O26" t="s">
        <v>168</v>
      </c>
      <c r="P26" t="s">
        <v>100</v>
      </c>
      <c r="Q26">
        <v>1400</v>
      </c>
      <c r="R26">
        <v>23.5</v>
      </c>
      <c r="S26" t="s">
        <v>94</v>
      </c>
      <c r="T26">
        <v>0</v>
      </c>
      <c r="U26" t="s">
        <v>107</v>
      </c>
      <c r="V26" t="s">
        <v>103</v>
      </c>
      <c r="W26">
        <v>9200</v>
      </c>
    </row>
    <row r="27" spans="1:23" x14ac:dyDescent="0.35">
      <c r="A27" t="s">
        <v>169</v>
      </c>
      <c r="B27" t="s">
        <v>170</v>
      </c>
      <c r="C27">
        <v>28</v>
      </c>
      <c r="D27" t="s">
        <v>18</v>
      </c>
      <c r="E27" t="s">
        <v>52</v>
      </c>
      <c r="F27" t="s">
        <v>171</v>
      </c>
      <c r="G27" t="s">
        <v>21</v>
      </c>
      <c r="H27" t="s">
        <v>22</v>
      </c>
      <c r="I27" t="s">
        <v>40</v>
      </c>
      <c r="J27" t="s">
        <v>97</v>
      </c>
      <c r="K27" t="s">
        <v>114</v>
      </c>
      <c r="L27" s="5">
        <v>45691</v>
      </c>
      <c r="M27" s="7">
        <v>0.27777777777777779</v>
      </c>
      <c r="N27" s="7">
        <v>0.74652777777777779</v>
      </c>
      <c r="O27" t="s">
        <v>172</v>
      </c>
      <c r="P27" t="s">
        <v>93</v>
      </c>
      <c r="Q27">
        <v>760</v>
      </c>
      <c r="R27">
        <v>16.8</v>
      </c>
      <c r="S27" t="s">
        <v>111</v>
      </c>
      <c r="T27">
        <v>0</v>
      </c>
      <c r="U27" t="s">
        <v>95</v>
      </c>
      <c r="V27" t="s">
        <v>96</v>
      </c>
      <c r="W27">
        <v>4100</v>
      </c>
    </row>
    <row r="28" spans="1:23" x14ac:dyDescent="0.35">
      <c r="A28" t="s">
        <v>173</v>
      </c>
      <c r="B28" t="s">
        <v>174</v>
      </c>
      <c r="C28">
        <v>49</v>
      </c>
      <c r="D28" t="s">
        <v>11</v>
      </c>
      <c r="E28" t="s">
        <v>12</v>
      </c>
      <c r="F28" s="3" t="s">
        <v>175</v>
      </c>
      <c r="G28" t="s">
        <v>13</v>
      </c>
      <c r="H28" t="s">
        <v>15</v>
      </c>
      <c r="I28" t="s">
        <v>33</v>
      </c>
      <c r="J28" t="s">
        <v>91</v>
      </c>
      <c r="K28" t="s">
        <v>108</v>
      </c>
      <c r="L28" s="5">
        <v>45692</v>
      </c>
      <c r="M28" s="7">
        <v>0.47222222222222221</v>
      </c>
      <c r="N28" s="7">
        <v>0.56944444444444442</v>
      </c>
      <c r="O28" t="s">
        <v>176</v>
      </c>
      <c r="P28" t="s">
        <v>93</v>
      </c>
      <c r="Q28">
        <v>120</v>
      </c>
      <c r="R28">
        <v>9.1999999999999993</v>
      </c>
      <c r="S28" t="s">
        <v>94</v>
      </c>
      <c r="T28">
        <v>0</v>
      </c>
      <c r="U28" t="s">
        <v>102</v>
      </c>
      <c r="V28" t="s">
        <v>103</v>
      </c>
      <c r="W28">
        <v>1800</v>
      </c>
    </row>
    <row r="29" spans="1:23" x14ac:dyDescent="0.35">
      <c r="A29" t="s">
        <v>177</v>
      </c>
      <c r="B29" t="s">
        <v>178</v>
      </c>
      <c r="C29">
        <v>26</v>
      </c>
      <c r="D29" t="s">
        <v>18</v>
      </c>
      <c r="E29" t="s">
        <v>19</v>
      </c>
      <c r="F29" t="s">
        <v>179</v>
      </c>
      <c r="G29" t="s">
        <v>13</v>
      </c>
      <c r="H29" t="s">
        <v>57</v>
      </c>
      <c r="I29" t="s">
        <v>39</v>
      </c>
      <c r="J29" t="s">
        <v>121</v>
      </c>
      <c r="K29" t="s">
        <v>113</v>
      </c>
      <c r="L29" s="5">
        <v>45692</v>
      </c>
      <c r="M29" s="7">
        <v>0.63194444444444442</v>
      </c>
      <c r="N29" s="7">
        <v>0.73263888888888884</v>
      </c>
      <c r="O29" t="s">
        <v>180</v>
      </c>
      <c r="P29" t="s">
        <v>93</v>
      </c>
      <c r="Q29">
        <v>140</v>
      </c>
      <c r="R29">
        <v>11</v>
      </c>
      <c r="S29" t="s">
        <v>101</v>
      </c>
      <c r="T29">
        <v>25</v>
      </c>
      <c r="U29" t="s">
        <v>95</v>
      </c>
      <c r="V29" t="s">
        <v>96</v>
      </c>
      <c r="W29">
        <v>2500</v>
      </c>
    </row>
    <row r="30" spans="1:23" x14ac:dyDescent="0.35">
      <c r="A30" t="s">
        <v>181</v>
      </c>
      <c r="B30" t="s">
        <v>182</v>
      </c>
      <c r="C30">
        <v>33</v>
      </c>
      <c r="D30" t="s">
        <v>11</v>
      </c>
      <c r="E30" t="s">
        <v>37</v>
      </c>
      <c r="F30" t="s">
        <v>38</v>
      </c>
      <c r="G30" t="s">
        <v>21</v>
      </c>
      <c r="H30" t="s">
        <v>33</v>
      </c>
      <c r="I30" t="s">
        <v>34</v>
      </c>
      <c r="J30" t="s">
        <v>108</v>
      </c>
      <c r="K30" t="s">
        <v>109</v>
      </c>
      <c r="L30" s="5">
        <v>45693</v>
      </c>
      <c r="M30" s="7">
        <v>0.85416666666666663</v>
      </c>
      <c r="N30" s="7">
        <v>9.7222222222222224E-2</v>
      </c>
      <c r="O30" t="s">
        <v>183</v>
      </c>
      <c r="P30" t="s">
        <v>100</v>
      </c>
      <c r="Q30">
        <v>1350</v>
      </c>
      <c r="R30">
        <v>24</v>
      </c>
      <c r="S30" t="s">
        <v>94</v>
      </c>
      <c r="T30">
        <v>0</v>
      </c>
      <c r="U30" t="s">
        <v>102</v>
      </c>
      <c r="V30" t="s">
        <v>103</v>
      </c>
      <c r="W30">
        <v>8800</v>
      </c>
    </row>
    <row r="31" spans="1:23" x14ac:dyDescent="0.35">
      <c r="A31" t="s">
        <v>184</v>
      </c>
      <c r="B31" t="s">
        <v>185</v>
      </c>
      <c r="C31">
        <v>29</v>
      </c>
      <c r="D31" t="s">
        <v>18</v>
      </c>
      <c r="E31" t="s">
        <v>48</v>
      </c>
      <c r="F31" t="s">
        <v>186</v>
      </c>
      <c r="G31" t="s">
        <v>21</v>
      </c>
      <c r="H31" t="s">
        <v>14</v>
      </c>
      <c r="I31" t="s">
        <v>28</v>
      </c>
      <c r="J31" t="s">
        <v>90</v>
      </c>
      <c r="K31" t="s">
        <v>104</v>
      </c>
      <c r="L31" s="5">
        <v>45693</v>
      </c>
      <c r="M31" s="7">
        <v>0.4201388888888889</v>
      </c>
      <c r="N31" s="7">
        <v>0.76041666666666663</v>
      </c>
      <c r="O31" t="s">
        <v>187</v>
      </c>
      <c r="P31" t="s">
        <v>118</v>
      </c>
      <c r="Q31">
        <v>980</v>
      </c>
      <c r="R31">
        <v>19.5</v>
      </c>
      <c r="S31" t="s">
        <v>111</v>
      </c>
      <c r="T31">
        <v>0</v>
      </c>
      <c r="U31" t="s">
        <v>107</v>
      </c>
      <c r="V31" t="s">
        <v>96</v>
      </c>
      <c r="W31">
        <v>5400</v>
      </c>
    </row>
    <row r="32" spans="1:23" x14ac:dyDescent="0.35">
      <c r="A32" t="s">
        <v>188</v>
      </c>
      <c r="B32" t="s">
        <v>189</v>
      </c>
      <c r="C32">
        <v>41</v>
      </c>
      <c r="D32" t="s">
        <v>11</v>
      </c>
      <c r="E32" t="s">
        <v>26</v>
      </c>
      <c r="F32" t="s">
        <v>190</v>
      </c>
      <c r="G32" t="s">
        <v>21</v>
      </c>
      <c r="H32" t="s">
        <v>22</v>
      </c>
      <c r="I32" t="s">
        <v>23</v>
      </c>
      <c r="J32" t="s">
        <v>97</v>
      </c>
      <c r="K32" t="s">
        <v>98</v>
      </c>
      <c r="L32" s="5">
        <v>45694</v>
      </c>
      <c r="M32" s="7">
        <v>0.96527777777777779</v>
      </c>
      <c r="N32" s="7">
        <v>0.11805555555555555</v>
      </c>
      <c r="O32" t="s">
        <v>191</v>
      </c>
      <c r="P32" t="s">
        <v>100</v>
      </c>
      <c r="Q32">
        <v>1250</v>
      </c>
      <c r="R32">
        <v>27</v>
      </c>
      <c r="S32" t="s">
        <v>94</v>
      </c>
      <c r="T32">
        <v>0</v>
      </c>
      <c r="U32" t="s">
        <v>95</v>
      </c>
      <c r="V32" t="s">
        <v>125</v>
      </c>
      <c r="W32">
        <v>13500</v>
      </c>
    </row>
    <row r="33" spans="1:23" x14ac:dyDescent="0.35">
      <c r="A33" t="s">
        <v>192</v>
      </c>
      <c r="B33" t="s">
        <v>193</v>
      </c>
      <c r="C33">
        <v>27</v>
      </c>
      <c r="D33" t="s">
        <v>18</v>
      </c>
      <c r="E33" t="s">
        <v>12</v>
      </c>
      <c r="F33" s="3" t="s">
        <v>194</v>
      </c>
      <c r="G33" t="s">
        <v>13</v>
      </c>
      <c r="H33" t="s">
        <v>15</v>
      </c>
      <c r="I33" t="s">
        <v>14</v>
      </c>
      <c r="J33" t="s">
        <v>91</v>
      </c>
      <c r="K33" t="s">
        <v>90</v>
      </c>
      <c r="L33" s="5">
        <v>45694</v>
      </c>
      <c r="M33" s="7">
        <v>0.3125</v>
      </c>
      <c r="N33" s="7">
        <v>0.4201388888888889</v>
      </c>
      <c r="O33" t="s">
        <v>195</v>
      </c>
      <c r="P33" t="s">
        <v>93</v>
      </c>
      <c r="Q33">
        <v>135</v>
      </c>
      <c r="R33">
        <v>10</v>
      </c>
      <c r="S33" t="s">
        <v>101</v>
      </c>
      <c r="T33">
        <v>20</v>
      </c>
      <c r="U33" t="s">
        <v>102</v>
      </c>
      <c r="V33" t="s">
        <v>112</v>
      </c>
      <c r="W33">
        <v>3100</v>
      </c>
    </row>
    <row r="34" spans="1:23" x14ac:dyDescent="0.35">
      <c r="A34" t="s">
        <v>196</v>
      </c>
      <c r="B34" t="s">
        <v>197</v>
      </c>
      <c r="C34">
        <v>38</v>
      </c>
      <c r="D34" t="s">
        <v>11</v>
      </c>
      <c r="E34" t="s">
        <v>19</v>
      </c>
      <c r="F34" t="s">
        <v>198</v>
      </c>
      <c r="G34" t="s">
        <v>21</v>
      </c>
      <c r="H34" t="s">
        <v>22</v>
      </c>
      <c r="I34" t="s">
        <v>40</v>
      </c>
      <c r="J34" t="s">
        <v>97</v>
      </c>
      <c r="K34" t="s">
        <v>114</v>
      </c>
      <c r="L34" s="5">
        <v>45695</v>
      </c>
      <c r="M34" s="7">
        <v>9.375E-2</v>
      </c>
      <c r="N34" s="7">
        <v>0.60416666666666663</v>
      </c>
      <c r="O34" t="s">
        <v>199</v>
      </c>
      <c r="P34" t="s">
        <v>100</v>
      </c>
      <c r="Q34">
        <v>1950</v>
      </c>
      <c r="R34">
        <v>28.5</v>
      </c>
      <c r="S34" t="s">
        <v>94</v>
      </c>
      <c r="T34">
        <v>0</v>
      </c>
      <c r="U34" t="s">
        <v>107</v>
      </c>
      <c r="V34" t="s">
        <v>103</v>
      </c>
      <c r="W34">
        <v>9900</v>
      </c>
    </row>
    <row r="35" spans="1:23" x14ac:dyDescent="0.35">
      <c r="A35" t="s">
        <v>200</v>
      </c>
      <c r="B35" t="s">
        <v>147</v>
      </c>
      <c r="C35">
        <v>24</v>
      </c>
      <c r="D35" t="s">
        <v>18</v>
      </c>
      <c r="E35" t="s">
        <v>31</v>
      </c>
      <c r="F35" t="s">
        <v>201</v>
      </c>
      <c r="G35" t="s">
        <v>21</v>
      </c>
      <c r="H35" t="s">
        <v>15</v>
      </c>
      <c r="I35" t="s">
        <v>23</v>
      </c>
      <c r="J35" t="s">
        <v>91</v>
      </c>
      <c r="K35" t="s">
        <v>98</v>
      </c>
      <c r="L35" s="5">
        <v>45695</v>
      </c>
      <c r="M35" s="7">
        <v>0.2013888888888889</v>
      </c>
      <c r="N35" s="7">
        <v>0.35069444444444442</v>
      </c>
      <c r="O35" t="s">
        <v>202</v>
      </c>
      <c r="P35" t="s">
        <v>93</v>
      </c>
      <c r="Q35">
        <v>340</v>
      </c>
      <c r="R35">
        <v>13.2</v>
      </c>
      <c r="S35" t="s">
        <v>111</v>
      </c>
      <c r="T35">
        <v>0</v>
      </c>
      <c r="U35" t="s">
        <v>95</v>
      </c>
      <c r="V35" t="s">
        <v>112</v>
      </c>
      <c r="W35">
        <v>2100</v>
      </c>
    </row>
    <row r="36" spans="1:23" x14ac:dyDescent="0.35">
      <c r="A36" t="s">
        <v>203</v>
      </c>
      <c r="B36" t="s">
        <v>55</v>
      </c>
      <c r="C36">
        <v>36</v>
      </c>
      <c r="D36" t="s">
        <v>11</v>
      </c>
      <c r="E36" t="s">
        <v>12</v>
      </c>
      <c r="F36" s="3" t="s">
        <v>204</v>
      </c>
      <c r="G36" t="s">
        <v>13</v>
      </c>
      <c r="H36" t="s">
        <v>57</v>
      </c>
      <c r="I36" t="s">
        <v>22</v>
      </c>
      <c r="J36" t="s">
        <v>121</v>
      </c>
      <c r="K36" t="s">
        <v>97</v>
      </c>
      <c r="L36" s="5">
        <v>45696</v>
      </c>
      <c r="M36" s="7">
        <v>0.52777777777777779</v>
      </c>
      <c r="N36" s="7">
        <v>0.63194444444444442</v>
      </c>
      <c r="O36" t="s">
        <v>205</v>
      </c>
      <c r="P36" t="s">
        <v>93</v>
      </c>
      <c r="Q36">
        <v>150</v>
      </c>
      <c r="R36">
        <v>12.8</v>
      </c>
      <c r="S36" t="s">
        <v>94</v>
      </c>
      <c r="T36">
        <v>0</v>
      </c>
      <c r="U36" t="s">
        <v>102</v>
      </c>
      <c r="V36" t="s">
        <v>103</v>
      </c>
      <c r="W36">
        <v>1900</v>
      </c>
    </row>
    <row r="37" spans="1:23" x14ac:dyDescent="0.35">
      <c r="A37" t="s">
        <v>206</v>
      </c>
      <c r="B37" t="s">
        <v>59</v>
      </c>
      <c r="C37">
        <v>30</v>
      </c>
      <c r="D37" t="s">
        <v>18</v>
      </c>
      <c r="E37" t="s">
        <v>43</v>
      </c>
      <c r="F37" t="s">
        <v>207</v>
      </c>
      <c r="G37" t="s">
        <v>21</v>
      </c>
      <c r="H37" t="s">
        <v>15</v>
      </c>
      <c r="I37" t="s">
        <v>45</v>
      </c>
      <c r="J37" t="s">
        <v>91</v>
      </c>
      <c r="K37" t="s">
        <v>116</v>
      </c>
      <c r="L37" s="5">
        <v>45696</v>
      </c>
      <c r="M37" s="7">
        <v>0.1423611111111111</v>
      </c>
      <c r="N37" s="7">
        <v>0.46180555555555558</v>
      </c>
      <c r="O37" t="s">
        <v>208</v>
      </c>
      <c r="P37" t="s">
        <v>118</v>
      </c>
      <c r="Q37">
        <v>990</v>
      </c>
      <c r="R37">
        <v>21.5</v>
      </c>
      <c r="S37" t="s">
        <v>101</v>
      </c>
      <c r="T37">
        <v>35</v>
      </c>
      <c r="U37" t="s">
        <v>95</v>
      </c>
      <c r="V37" t="s">
        <v>96</v>
      </c>
      <c r="W37">
        <v>6100</v>
      </c>
    </row>
    <row r="38" spans="1:23" x14ac:dyDescent="0.35">
      <c r="A38" t="s">
        <v>209</v>
      </c>
      <c r="B38" t="s">
        <v>62</v>
      </c>
      <c r="C38">
        <v>52</v>
      </c>
      <c r="D38" t="s">
        <v>11</v>
      </c>
      <c r="E38" t="s">
        <v>26</v>
      </c>
      <c r="F38" t="s">
        <v>63</v>
      </c>
      <c r="G38" t="s">
        <v>21</v>
      </c>
      <c r="H38" t="s">
        <v>22</v>
      </c>
      <c r="I38" t="s">
        <v>23</v>
      </c>
      <c r="J38" t="s">
        <v>97</v>
      </c>
      <c r="K38" t="s">
        <v>98</v>
      </c>
      <c r="L38" s="5">
        <v>45697</v>
      </c>
      <c r="M38" s="7">
        <v>0.98958333333333337</v>
      </c>
      <c r="N38" s="7">
        <v>0.13194444444444445</v>
      </c>
      <c r="O38" t="s">
        <v>210</v>
      </c>
      <c r="P38" t="s">
        <v>100</v>
      </c>
      <c r="Q38">
        <v>1200</v>
      </c>
      <c r="R38">
        <v>29</v>
      </c>
      <c r="S38" t="s">
        <v>94</v>
      </c>
      <c r="T38">
        <v>0</v>
      </c>
      <c r="U38" t="s">
        <v>107</v>
      </c>
      <c r="V38" t="s">
        <v>125</v>
      </c>
      <c r="W38">
        <v>14000</v>
      </c>
    </row>
    <row r="39" spans="1:23" x14ac:dyDescent="0.35">
      <c r="A39" t="s">
        <v>211</v>
      </c>
      <c r="B39" t="s">
        <v>65</v>
      </c>
      <c r="C39">
        <v>24</v>
      </c>
      <c r="D39" t="s">
        <v>18</v>
      </c>
      <c r="E39" t="s">
        <v>12</v>
      </c>
      <c r="F39" s="3" t="s">
        <v>66</v>
      </c>
      <c r="G39" t="s">
        <v>13</v>
      </c>
      <c r="H39" t="s">
        <v>39</v>
      </c>
      <c r="I39" t="s">
        <v>15</v>
      </c>
      <c r="J39" t="s">
        <v>113</v>
      </c>
      <c r="K39" t="s">
        <v>91</v>
      </c>
      <c r="L39" s="5">
        <v>45697</v>
      </c>
      <c r="M39" s="7">
        <v>0.26041666666666669</v>
      </c>
      <c r="N39" s="7">
        <v>0.36805555555555558</v>
      </c>
      <c r="O39" t="s">
        <v>212</v>
      </c>
      <c r="P39" t="s">
        <v>93</v>
      </c>
      <c r="Q39">
        <v>160</v>
      </c>
      <c r="R39">
        <v>10.4</v>
      </c>
      <c r="S39" t="s">
        <v>111</v>
      </c>
      <c r="T39">
        <v>0</v>
      </c>
      <c r="U39" t="s">
        <v>102</v>
      </c>
      <c r="V39" t="s">
        <v>112</v>
      </c>
      <c r="W39">
        <v>900</v>
      </c>
    </row>
    <row r="40" spans="1:23" x14ac:dyDescent="0.35">
      <c r="A40" t="s">
        <v>213</v>
      </c>
      <c r="B40" t="s">
        <v>68</v>
      </c>
      <c r="C40">
        <v>40</v>
      </c>
      <c r="D40" t="s">
        <v>11</v>
      </c>
      <c r="E40" t="s">
        <v>37</v>
      </c>
      <c r="F40" t="s">
        <v>214</v>
      </c>
      <c r="G40" t="s">
        <v>21</v>
      </c>
      <c r="H40" t="s">
        <v>33</v>
      </c>
      <c r="I40" t="s">
        <v>34</v>
      </c>
      <c r="J40" t="s">
        <v>108</v>
      </c>
      <c r="K40" t="s">
        <v>109</v>
      </c>
      <c r="L40" s="5">
        <v>45698</v>
      </c>
      <c r="M40" s="7">
        <v>0.88194444444444442</v>
      </c>
      <c r="N40" s="7">
        <v>0.125</v>
      </c>
      <c r="O40" t="s">
        <v>127</v>
      </c>
      <c r="P40" t="s">
        <v>100</v>
      </c>
      <c r="Q40">
        <v>1340</v>
      </c>
      <c r="R40">
        <v>22.6</v>
      </c>
      <c r="S40" t="s">
        <v>94</v>
      </c>
      <c r="T40">
        <v>0</v>
      </c>
      <c r="U40" t="s">
        <v>95</v>
      </c>
      <c r="V40" t="s">
        <v>103</v>
      </c>
      <c r="W40">
        <v>8700</v>
      </c>
    </row>
    <row r="41" spans="1:23" x14ac:dyDescent="0.35">
      <c r="A41" t="s">
        <v>215</v>
      </c>
      <c r="B41" t="s">
        <v>71</v>
      </c>
      <c r="C41">
        <v>33</v>
      </c>
      <c r="D41" t="s">
        <v>18</v>
      </c>
      <c r="E41" t="s">
        <v>43</v>
      </c>
      <c r="F41" t="s">
        <v>72</v>
      </c>
      <c r="G41" t="s">
        <v>21</v>
      </c>
      <c r="H41" t="s">
        <v>15</v>
      </c>
      <c r="I41" t="s">
        <v>40</v>
      </c>
      <c r="J41" t="s">
        <v>91</v>
      </c>
      <c r="K41" t="s">
        <v>114</v>
      </c>
      <c r="L41" s="5">
        <v>45698</v>
      </c>
      <c r="M41" s="7">
        <v>0.11805555555555555</v>
      </c>
      <c r="N41" s="7">
        <v>0.64583333333333337</v>
      </c>
      <c r="O41" t="s">
        <v>128</v>
      </c>
      <c r="P41" t="s">
        <v>106</v>
      </c>
      <c r="Q41">
        <v>2600</v>
      </c>
      <c r="R41">
        <v>31.4</v>
      </c>
      <c r="S41" t="s">
        <v>101</v>
      </c>
      <c r="T41">
        <v>90</v>
      </c>
      <c r="U41" t="s">
        <v>107</v>
      </c>
      <c r="V41" t="s">
        <v>96</v>
      </c>
      <c r="W41">
        <v>15000</v>
      </c>
    </row>
    <row r="42" spans="1:23" x14ac:dyDescent="0.35">
      <c r="A42" t="s">
        <v>216</v>
      </c>
      <c r="B42" t="s">
        <v>74</v>
      </c>
      <c r="C42">
        <v>47</v>
      </c>
      <c r="D42" t="s">
        <v>11</v>
      </c>
      <c r="E42" t="s">
        <v>19</v>
      </c>
      <c r="F42" t="s">
        <v>75</v>
      </c>
      <c r="G42" t="s">
        <v>21</v>
      </c>
      <c r="H42" t="s">
        <v>14</v>
      </c>
      <c r="I42" t="s">
        <v>23</v>
      </c>
      <c r="J42" t="s">
        <v>90</v>
      </c>
      <c r="K42" t="s">
        <v>98</v>
      </c>
      <c r="L42" s="5">
        <v>45699</v>
      </c>
      <c r="M42" s="7">
        <v>0.54513888888888884</v>
      </c>
      <c r="N42" s="7">
        <v>0.71875</v>
      </c>
      <c r="O42" t="s">
        <v>129</v>
      </c>
      <c r="P42" t="s">
        <v>93</v>
      </c>
      <c r="Q42">
        <v>390</v>
      </c>
      <c r="R42">
        <v>16.100000000000001</v>
      </c>
      <c r="S42" t="s">
        <v>94</v>
      </c>
      <c r="T42">
        <v>0</v>
      </c>
      <c r="U42" t="s">
        <v>95</v>
      </c>
      <c r="V42" t="s">
        <v>103</v>
      </c>
      <c r="W42">
        <v>3000</v>
      </c>
    </row>
    <row r="43" spans="1:23" x14ac:dyDescent="0.35">
      <c r="A43" t="s">
        <v>217</v>
      </c>
      <c r="B43" t="s">
        <v>131</v>
      </c>
      <c r="C43">
        <v>28</v>
      </c>
      <c r="D43" t="s">
        <v>18</v>
      </c>
      <c r="E43" t="s">
        <v>52</v>
      </c>
      <c r="F43" t="s">
        <v>132</v>
      </c>
      <c r="G43" t="s">
        <v>21</v>
      </c>
      <c r="H43" t="s">
        <v>33</v>
      </c>
      <c r="I43" t="s">
        <v>28</v>
      </c>
      <c r="J43" t="s">
        <v>108</v>
      </c>
      <c r="K43" t="s">
        <v>104</v>
      </c>
      <c r="L43" s="5">
        <v>45699</v>
      </c>
      <c r="M43" s="7">
        <v>0.32291666666666669</v>
      </c>
      <c r="N43" s="7">
        <v>0.75694444444444442</v>
      </c>
      <c r="O43" t="s">
        <v>133</v>
      </c>
      <c r="P43" t="s">
        <v>118</v>
      </c>
      <c r="Q43">
        <v>980</v>
      </c>
      <c r="R43">
        <v>21</v>
      </c>
      <c r="S43" t="s">
        <v>111</v>
      </c>
      <c r="T43">
        <v>0</v>
      </c>
      <c r="U43" t="s">
        <v>102</v>
      </c>
      <c r="V43" t="s">
        <v>96</v>
      </c>
      <c r="W43">
        <v>7200</v>
      </c>
    </row>
    <row r="44" spans="1:23" x14ac:dyDescent="0.35">
      <c r="A44" t="s">
        <v>218</v>
      </c>
      <c r="B44" t="s">
        <v>135</v>
      </c>
      <c r="C44">
        <v>39</v>
      </c>
      <c r="D44" t="s">
        <v>11</v>
      </c>
      <c r="E44" t="s">
        <v>12</v>
      </c>
      <c r="F44" s="3" t="s">
        <v>136</v>
      </c>
      <c r="G44" t="s">
        <v>13</v>
      </c>
      <c r="H44" t="s">
        <v>15</v>
      </c>
      <c r="I44" t="s">
        <v>22</v>
      </c>
      <c r="J44" t="s">
        <v>91</v>
      </c>
      <c r="K44" t="s">
        <v>97</v>
      </c>
      <c r="L44" s="5">
        <v>45700</v>
      </c>
      <c r="M44" s="7">
        <v>0.47916666666666669</v>
      </c>
      <c r="N44" s="7">
        <v>0.56944444444444442</v>
      </c>
      <c r="O44" t="s">
        <v>137</v>
      </c>
      <c r="P44" t="s">
        <v>93</v>
      </c>
      <c r="Q44">
        <v>110</v>
      </c>
      <c r="R44">
        <v>8.6</v>
      </c>
      <c r="S44" t="s">
        <v>94</v>
      </c>
      <c r="T44">
        <v>0</v>
      </c>
      <c r="U44" t="s">
        <v>95</v>
      </c>
      <c r="V44" t="s">
        <v>103</v>
      </c>
      <c r="W44">
        <v>1500</v>
      </c>
    </row>
    <row r="45" spans="1:23" x14ac:dyDescent="0.35">
      <c r="A45" t="s">
        <v>219</v>
      </c>
      <c r="B45" t="s">
        <v>139</v>
      </c>
      <c r="C45">
        <v>26</v>
      </c>
      <c r="D45" t="s">
        <v>18</v>
      </c>
      <c r="E45" t="s">
        <v>19</v>
      </c>
      <c r="F45" t="s">
        <v>140</v>
      </c>
      <c r="G45" t="s">
        <v>13</v>
      </c>
      <c r="H45" t="s">
        <v>57</v>
      </c>
      <c r="I45" t="s">
        <v>39</v>
      </c>
      <c r="J45" t="s">
        <v>121</v>
      </c>
      <c r="K45" t="s">
        <v>113</v>
      </c>
      <c r="L45" s="5">
        <v>45700</v>
      </c>
      <c r="M45" s="7">
        <v>0.66666666666666663</v>
      </c>
      <c r="N45" s="7">
        <v>0.76736111111111116</v>
      </c>
      <c r="O45" t="s">
        <v>141</v>
      </c>
      <c r="P45" t="s">
        <v>93</v>
      </c>
      <c r="Q45">
        <v>140</v>
      </c>
      <c r="R45">
        <v>11.2</v>
      </c>
      <c r="S45" t="s">
        <v>101</v>
      </c>
      <c r="T45">
        <v>20</v>
      </c>
      <c r="U45" t="s">
        <v>95</v>
      </c>
      <c r="V45" t="s">
        <v>96</v>
      </c>
      <c r="W45">
        <v>2700</v>
      </c>
    </row>
    <row r="46" spans="1:23" x14ac:dyDescent="0.35">
      <c r="A46" t="s">
        <v>220</v>
      </c>
      <c r="B46" t="s">
        <v>143</v>
      </c>
      <c r="C46">
        <v>50</v>
      </c>
      <c r="D46" t="s">
        <v>11</v>
      </c>
      <c r="E46" t="s">
        <v>26</v>
      </c>
      <c r="F46" t="s">
        <v>144</v>
      </c>
      <c r="G46" t="s">
        <v>21</v>
      </c>
      <c r="H46" t="s">
        <v>14</v>
      </c>
      <c r="I46" t="s">
        <v>34</v>
      </c>
      <c r="J46" t="s">
        <v>90</v>
      </c>
      <c r="K46" t="s">
        <v>109</v>
      </c>
      <c r="L46" s="5">
        <v>45701</v>
      </c>
      <c r="M46" s="7">
        <v>0.88194444444444442</v>
      </c>
      <c r="N46" s="7">
        <v>0.2013888888888889</v>
      </c>
      <c r="O46" t="s">
        <v>145</v>
      </c>
      <c r="P46" t="s">
        <v>100</v>
      </c>
      <c r="Q46">
        <v>1450</v>
      </c>
      <c r="R46">
        <v>25.9</v>
      </c>
      <c r="S46" t="s">
        <v>94</v>
      </c>
      <c r="T46">
        <v>0</v>
      </c>
      <c r="U46" t="s">
        <v>107</v>
      </c>
      <c r="V46" t="s">
        <v>125</v>
      </c>
      <c r="W46">
        <v>11800</v>
      </c>
    </row>
    <row r="47" spans="1:23" x14ac:dyDescent="0.35">
      <c r="A47" t="s">
        <v>221</v>
      </c>
      <c r="B47" t="s">
        <v>222</v>
      </c>
      <c r="C47">
        <v>31</v>
      </c>
      <c r="D47" t="s">
        <v>18</v>
      </c>
      <c r="E47" t="s">
        <v>31</v>
      </c>
      <c r="F47" t="s">
        <v>148</v>
      </c>
      <c r="G47" t="s">
        <v>21</v>
      </c>
      <c r="H47" t="s">
        <v>15</v>
      </c>
      <c r="I47" t="s">
        <v>23</v>
      </c>
      <c r="J47" t="s">
        <v>91</v>
      </c>
      <c r="K47" t="s">
        <v>98</v>
      </c>
      <c r="L47" s="5">
        <v>45701</v>
      </c>
      <c r="M47" s="7">
        <v>0.18402777777777779</v>
      </c>
      <c r="N47" s="7">
        <v>0.33333333333333331</v>
      </c>
      <c r="O47" t="s">
        <v>149</v>
      </c>
      <c r="P47" t="s">
        <v>93</v>
      </c>
      <c r="Q47">
        <v>330</v>
      </c>
      <c r="R47">
        <v>13.5</v>
      </c>
      <c r="S47" t="s">
        <v>111</v>
      </c>
      <c r="T47">
        <v>0</v>
      </c>
      <c r="U47" t="s">
        <v>102</v>
      </c>
      <c r="V47" t="s">
        <v>112</v>
      </c>
      <c r="W47">
        <v>2100</v>
      </c>
    </row>
    <row r="48" spans="1:23" x14ac:dyDescent="0.35">
      <c r="A48" t="s">
        <v>223</v>
      </c>
      <c r="B48" t="s">
        <v>224</v>
      </c>
      <c r="C48">
        <v>44</v>
      </c>
      <c r="D48" t="s">
        <v>11</v>
      </c>
      <c r="E48" t="s">
        <v>12</v>
      </c>
      <c r="F48" s="3" t="s">
        <v>225</v>
      </c>
      <c r="G48" t="s">
        <v>13</v>
      </c>
      <c r="H48" t="s">
        <v>22</v>
      </c>
      <c r="I48" t="s">
        <v>57</v>
      </c>
      <c r="J48" t="s">
        <v>97</v>
      </c>
      <c r="K48" t="s">
        <v>121</v>
      </c>
      <c r="L48" s="5">
        <v>45702</v>
      </c>
      <c r="M48" s="7">
        <v>0.38194444444444442</v>
      </c>
      <c r="N48" s="7">
        <v>0.4861111111111111</v>
      </c>
      <c r="O48" t="s">
        <v>226</v>
      </c>
      <c r="P48" t="s">
        <v>93</v>
      </c>
      <c r="Q48">
        <v>125</v>
      </c>
      <c r="R48">
        <v>12</v>
      </c>
      <c r="S48" t="s">
        <v>94</v>
      </c>
      <c r="T48">
        <v>0</v>
      </c>
      <c r="U48" t="s">
        <v>95</v>
      </c>
      <c r="V48" t="s">
        <v>103</v>
      </c>
      <c r="W48">
        <v>2100</v>
      </c>
    </row>
    <row r="49" spans="1:23" x14ac:dyDescent="0.35">
      <c r="A49" t="s">
        <v>227</v>
      </c>
      <c r="B49" t="s">
        <v>30</v>
      </c>
      <c r="C49">
        <v>25</v>
      </c>
      <c r="D49" t="s">
        <v>18</v>
      </c>
      <c r="E49" t="s">
        <v>19</v>
      </c>
      <c r="F49" t="s">
        <v>20</v>
      </c>
      <c r="G49" t="s">
        <v>21</v>
      </c>
      <c r="H49" t="s">
        <v>15</v>
      </c>
      <c r="I49" t="s">
        <v>28</v>
      </c>
      <c r="J49" t="s">
        <v>91</v>
      </c>
      <c r="K49" t="s">
        <v>104</v>
      </c>
      <c r="L49" s="5">
        <v>45702</v>
      </c>
      <c r="M49" s="7">
        <v>5.2083333333333336E-2</v>
      </c>
      <c r="N49" s="7">
        <v>0.40972222222222221</v>
      </c>
      <c r="O49" t="s">
        <v>99</v>
      </c>
      <c r="P49" t="s">
        <v>100</v>
      </c>
      <c r="Q49">
        <v>860</v>
      </c>
      <c r="R49">
        <v>24</v>
      </c>
      <c r="S49" t="s">
        <v>101</v>
      </c>
      <c r="T49">
        <v>50</v>
      </c>
      <c r="U49" t="s">
        <v>102</v>
      </c>
      <c r="V49" t="s">
        <v>96</v>
      </c>
      <c r="W49">
        <v>8400</v>
      </c>
    </row>
    <row r="50" spans="1:23" x14ac:dyDescent="0.35">
      <c r="A50" t="s">
        <v>228</v>
      </c>
      <c r="B50" t="s">
        <v>36</v>
      </c>
      <c r="C50">
        <v>38</v>
      </c>
      <c r="D50" t="s">
        <v>11</v>
      </c>
      <c r="E50" t="s">
        <v>37</v>
      </c>
      <c r="F50" t="s">
        <v>38</v>
      </c>
      <c r="G50" t="s">
        <v>21</v>
      </c>
      <c r="H50" t="s">
        <v>39</v>
      </c>
      <c r="I50" t="s">
        <v>40</v>
      </c>
      <c r="J50" t="s">
        <v>113</v>
      </c>
      <c r="K50" t="s">
        <v>114</v>
      </c>
      <c r="L50" s="5">
        <v>45703</v>
      </c>
      <c r="M50" s="7">
        <v>0.91666666666666663</v>
      </c>
      <c r="N50" s="7">
        <v>0.57291666666666663</v>
      </c>
      <c r="O50" t="s">
        <v>115</v>
      </c>
      <c r="P50" t="s">
        <v>100</v>
      </c>
      <c r="Q50">
        <v>1980</v>
      </c>
      <c r="R50">
        <v>27.5</v>
      </c>
      <c r="S50" t="s">
        <v>94</v>
      </c>
      <c r="T50">
        <v>0</v>
      </c>
      <c r="U50" t="s">
        <v>102</v>
      </c>
      <c r="V50" t="s">
        <v>103</v>
      </c>
      <c r="W50">
        <v>9700</v>
      </c>
    </row>
    <row r="51" spans="1:23" x14ac:dyDescent="0.35">
      <c r="A51" t="s">
        <v>229</v>
      </c>
      <c r="B51" t="s">
        <v>42</v>
      </c>
      <c r="C51">
        <v>31</v>
      </c>
      <c r="D51" t="s">
        <v>18</v>
      </c>
      <c r="E51" t="s">
        <v>43</v>
      </c>
      <c r="F51" t="s">
        <v>44</v>
      </c>
      <c r="G51" t="s">
        <v>21</v>
      </c>
      <c r="H51" t="s">
        <v>15</v>
      </c>
      <c r="I51" t="s">
        <v>45</v>
      </c>
      <c r="J51" t="s">
        <v>91</v>
      </c>
      <c r="K51" t="s">
        <v>116</v>
      </c>
      <c r="L51" s="5">
        <v>45703</v>
      </c>
      <c r="M51" s="7">
        <v>0.15625</v>
      </c>
      <c r="N51" s="7">
        <v>0.47222222222222221</v>
      </c>
      <c r="O51" t="s">
        <v>117</v>
      </c>
      <c r="P51" t="s">
        <v>118</v>
      </c>
      <c r="Q51">
        <v>980</v>
      </c>
      <c r="R51">
        <v>19.3</v>
      </c>
      <c r="S51" t="s">
        <v>94</v>
      </c>
      <c r="T51">
        <v>0</v>
      </c>
      <c r="U51" t="s">
        <v>95</v>
      </c>
      <c r="V51" t="s">
        <v>96</v>
      </c>
      <c r="W51">
        <v>5400</v>
      </c>
    </row>
    <row r="52" spans="1:23" x14ac:dyDescent="0.35">
      <c r="A52" t="s">
        <v>230</v>
      </c>
      <c r="B52" t="s">
        <v>231</v>
      </c>
      <c r="C52">
        <v>35</v>
      </c>
      <c r="D52" t="s">
        <v>11</v>
      </c>
      <c r="E52" t="s">
        <v>26</v>
      </c>
      <c r="F52" t="s">
        <v>232</v>
      </c>
      <c r="G52" t="s">
        <v>21</v>
      </c>
      <c r="H52" t="s">
        <v>22</v>
      </c>
      <c r="I52" t="s">
        <v>28</v>
      </c>
      <c r="J52" t="s">
        <v>97</v>
      </c>
      <c r="K52" t="s">
        <v>104</v>
      </c>
      <c r="L52" s="5">
        <v>45704</v>
      </c>
      <c r="M52" s="7">
        <v>9.0277777777777776E-2</v>
      </c>
      <c r="N52" s="7">
        <v>0.36805555555555558</v>
      </c>
      <c r="O52" t="s">
        <v>119</v>
      </c>
      <c r="P52" t="s">
        <v>100</v>
      </c>
      <c r="Q52">
        <v>1800</v>
      </c>
      <c r="R52">
        <v>26.5</v>
      </c>
      <c r="S52" t="s">
        <v>94</v>
      </c>
      <c r="T52">
        <v>0</v>
      </c>
      <c r="U52" t="s">
        <v>107</v>
      </c>
      <c r="V52" t="s">
        <v>103</v>
      </c>
      <c r="W52">
        <v>12000</v>
      </c>
    </row>
    <row r="53" spans="1:23" x14ac:dyDescent="0.35">
      <c r="A53" t="s">
        <v>233</v>
      </c>
      <c r="B53" t="s">
        <v>234</v>
      </c>
      <c r="C53">
        <v>28</v>
      </c>
      <c r="D53" t="s">
        <v>18</v>
      </c>
      <c r="E53" t="s">
        <v>12</v>
      </c>
      <c r="F53" s="3" t="s">
        <v>235</v>
      </c>
      <c r="G53" t="s">
        <v>13</v>
      </c>
      <c r="H53" t="s">
        <v>14</v>
      </c>
      <c r="I53" t="s">
        <v>15</v>
      </c>
      <c r="J53" t="s">
        <v>90</v>
      </c>
      <c r="K53" t="s">
        <v>91</v>
      </c>
      <c r="L53" s="5">
        <v>45704</v>
      </c>
      <c r="M53" s="7">
        <v>0.28125</v>
      </c>
      <c r="N53" s="7">
        <v>0.3888888888888889</v>
      </c>
      <c r="O53" t="s">
        <v>236</v>
      </c>
      <c r="P53" t="s">
        <v>93</v>
      </c>
      <c r="Q53">
        <v>150</v>
      </c>
      <c r="R53">
        <v>11.2</v>
      </c>
      <c r="S53" t="s">
        <v>101</v>
      </c>
      <c r="T53">
        <v>30</v>
      </c>
      <c r="U53" t="s">
        <v>102</v>
      </c>
      <c r="V53" t="s">
        <v>96</v>
      </c>
      <c r="W53">
        <v>3200</v>
      </c>
    </row>
    <row r="54" spans="1:23" x14ac:dyDescent="0.35">
      <c r="A54" t="s">
        <v>237</v>
      </c>
      <c r="B54" t="s">
        <v>238</v>
      </c>
      <c r="C54">
        <v>41</v>
      </c>
      <c r="D54" t="s">
        <v>11</v>
      </c>
      <c r="E54" t="s">
        <v>19</v>
      </c>
      <c r="F54" t="s">
        <v>239</v>
      </c>
      <c r="G54" t="s">
        <v>21</v>
      </c>
      <c r="H54" t="s">
        <v>15</v>
      </c>
      <c r="I54" t="s">
        <v>40</v>
      </c>
      <c r="J54" t="s">
        <v>91</v>
      </c>
      <c r="K54" t="s">
        <v>114</v>
      </c>
      <c r="L54" s="5">
        <v>45705</v>
      </c>
      <c r="M54" s="7">
        <v>6.25E-2</v>
      </c>
      <c r="N54" s="7">
        <v>0.59027777777777779</v>
      </c>
      <c r="O54" t="s">
        <v>240</v>
      </c>
      <c r="P54" t="s">
        <v>106</v>
      </c>
      <c r="Q54">
        <v>2800</v>
      </c>
      <c r="R54">
        <v>32</v>
      </c>
      <c r="S54" t="s">
        <v>94</v>
      </c>
      <c r="T54">
        <v>0</v>
      </c>
      <c r="U54" t="s">
        <v>95</v>
      </c>
      <c r="V54" t="s">
        <v>103</v>
      </c>
      <c r="W54">
        <v>15000</v>
      </c>
    </row>
    <row r="55" spans="1:23" x14ac:dyDescent="0.35">
      <c r="A55" t="s">
        <v>241</v>
      </c>
      <c r="B55" t="s">
        <v>242</v>
      </c>
      <c r="C55">
        <v>30</v>
      </c>
      <c r="D55" t="s">
        <v>18</v>
      </c>
      <c r="E55" t="s">
        <v>31</v>
      </c>
      <c r="F55" t="s">
        <v>243</v>
      </c>
      <c r="G55" t="s">
        <v>21</v>
      </c>
      <c r="H55" t="s">
        <v>33</v>
      </c>
      <c r="I55" t="s">
        <v>23</v>
      </c>
      <c r="J55" t="s">
        <v>108</v>
      </c>
      <c r="K55" t="s">
        <v>98</v>
      </c>
      <c r="L55" s="5">
        <v>45705</v>
      </c>
      <c r="M55" s="7">
        <v>0.38194444444444442</v>
      </c>
      <c r="N55" s="7">
        <v>0.48958333333333331</v>
      </c>
      <c r="O55" t="s">
        <v>244</v>
      </c>
      <c r="P55" t="s">
        <v>93</v>
      </c>
      <c r="Q55">
        <v>410</v>
      </c>
      <c r="R55">
        <v>14.5</v>
      </c>
      <c r="S55" t="s">
        <v>111</v>
      </c>
      <c r="T55">
        <v>0</v>
      </c>
      <c r="U55" t="s">
        <v>102</v>
      </c>
      <c r="V55" t="s">
        <v>112</v>
      </c>
      <c r="W55">
        <v>4100</v>
      </c>
    </row>
    <row r="56" spans="1:23" x14ac:dyDescent="0.35">
      <c r="A56" t="s">
        <v>245</v>
      </c>
      <c r="B56" t="s">
        <v>246</v>
      </c>
      <c r="C56">
        <v>48</v>
      </c>
      <c r="D56" t="s">
        <v>11</v>
      </c>
      <c r="E56" t="s">
        <v>43</v>
      </c>
      <c r="F56" t="s">
        <v>247</v>
      </c>
      <c r="G56" t="s">
        <v>21</v>
      </c>
      <c r="H56" t="s">
        <v>15</v>
      </c>
      <c r="I56" t="s">
        <v>45</v>
      </c>
      <c r="J56" t="s">
        <v>91</v>
      </c>
      <c r="K56" t="s">
        <v>116</v>
      </c>
      <c r="L56" s="5">
        <v>45706</v>
      </c>
      <c r="M56" s="7">
        <v>0.125</v>
      </c>
      <c r="N56" s="7">
        <v>0.44791666666666669</v>
      </c>
      <c r="O56" t="s">
        <v>248</v>
      </c>
      <c r="P56" t="s">
        <v>118</v>
      </c>
      <c r="Q56">
        <v>990</v>
      </c>
      <c r="R56">
        <v>20.8</v>
      </c>
      <c r="S56" t="s">
        <v>94</v>
      </c>
      <c r="T56">
        <v>0</v>
      </c>
      <c r="U56" t="s">
        <v>107</v>
      </c>
      <c r="V56" t="s">
        <v>125</v>
      </c>
      <c r="W56">
        <v>8000</v>
      </c>
    </row>
    <row r="57" spans="1:23" x14ac:dyDescent="0.35">
      <c r="A57" t="s">
        <v>249</v>
      </c>
      <c r="B57" t="s">
        <v>250</v>
      </c>
      <c r="C57">
        <v>27</v>
      </c>
      <c r="D57" t="s">
        <v>18</v>
      </c>
      <c r="E57" t="s">
        <v>37</v>
      </c>
      <c r="F57" t="s">
        <v>251</v>
      </c>
      <c r="G57" t="s">
        <v>21</v>
      </c>
      <c r="H57" t="s">
        <v>33</v>
      </c>
      <c r="I57" t="s">
        <v>34</v>
      </c>
      <c r="J57" t="s">
        <v>108</v>
      </c>
      <c r="K57" t="s">
        <v>109</v>
      </c>
      <c r="L57" s="5">
        <v>45706</v>
      </c>
      <c r="M57" s="7">
        <v>0.88888888888888884</v>
      </c>
      <c r="N57" s="7">
        <v>0.13194444444444445</v>
      </c>
      <c r="O57" t="s">
        <v>252</v>
      </c>
      <c r="P57" t="s">
        <v>100</v>
      </c>
      <c r="Q57">
        <v>1400</v>
      </c>
      <c r="R57">
        <v>23</v>
      </c>
      <c r="S57" t="s">
        <v>101</v>
      </c>
      <c r="T57">
        <v>45</v>
      </c>
      <c r="U57" t="s">
        <v>95</v>
      </c>
      <c r="V57" t="s">
        <v>96</v>
      </c>
      <c r="W57">
        <v>9000</v>
      </c>
    </row>
    <row r="58" spans="1:23" x14ac:dyDescent="0.35">
      <c r="A58" t="s">
        <v>253</v>
      </c>
      <c r="B58" t="s">
        <v>254</v>
      </c>
      <c r="C58">
        <v>39</v>
      </c>
      <c r="D58" t="s">
        <v>11</v>
      </c>
      <c r="E58" t="s">
        <v>52</v>
      </c>
      <c r="F58" t="s">
        <v>255</v>
      </c>
      <c r="G58" t="s">
        <v>21</v>
      </c>
      <c r="H58" t="s">
        <v>22</v>
      </c>
      <c r="I58" t="s">
        <v>40</v>
      </c>
      <c r="J58" t="s">
        <v>97</v>
      </c>
      <c r="K58" t="s">
        <v>114</v>
      </c>
      <c r="L58" s="5">
        <v>45707</v>
      </c>
      <c r="M58" s="7">
        <v>0.24305555555555555</v>
      </c>
      <c r="N58" s="7">
        <v>0.72916666666666663</v>
      </c>
      <c r="O58" t="s">
        <v>176</v>
      </c>
      <c r="P58" t="s">
        <v>93</v>
      </c>
      <c r="Q58">
        <v>760</v>
      </c>
      <c r="R58">
        <v>16</v>
      </c>
      <c r="S58" t="s">
        <v>94</v>
      </c>
      <c r="T58">
        <v>0</v>
      </c>
      <c r="U58" t="s">
        <v>102</v>
      </c>
      <c r="V58" t="s">
        <v>103</v>
      </c>
      <c r="W58">
        <v>4200</v>
      </c>
    </row>
    <row r="59" spans="1:23" x14ac:dyDescent="0.35">
      <c r="A59" t="s">
        <v>256</v>
      </c>
      <c r="B59" t="s">
        <v>257</v>
      </c>
      <c r="C59">
        <v>32</v>
      </c>
      <c r="D59" t="s">
        <v>18</v>
      </c>
      <c r="E59" t="s">
        <v>12</v>
      </c>
      <c r="F59" s="3" t="s">
        <v>258</v>
      </c>
      <c r="G59" t="s">
        <v>13</v>
      </c>
      <c r="H59" t="s">
        <v>39</v>
      </c>
      <c r="I59" t="s">
        <v>57</v>
      </c>
      <c r="J59" t="s">
        <v>113</v>
      </c>
      <c r="K59" t="s">
        <v>121</v>
      </c>
      <c r="L59" s="5">
        <v>45707</v>
      </c>
      <c r="M59" s="7">
        <v>0.59027777777777779</v>
      </c>
      <c r="N59" s="7">
        <v>0.69444444444444442</v>
      </c>
      <c r="O59" t="s">
        <v>259</v>
      </c>
      <c r="P59" t="s">
        <v>93</v>
      </c>
      <c r="Q59">
        <v>135</v>
      </c>
      <c r="R59">
        <v>10.8</v>
      </c>
      <c r="S59" t="s">
        <v>111</v>
      </c>
      <c r="T59">
        <v>0</v>
      </c>
      <c r="U59" t="s">
        <v>95</v>
      </c>
      <c r="V59" t="s">
        <v>96</v>
      </c>
      <c r="W59">
        <v>2800</v>
      </c>
    </row>
    <row r="60" spans="1:23" x14ac:dyDescent="0.35">
      <c r="A60" t="s">
        <v>260</v>
      </c>
      <c r="B60" t="s">
        <v>68</v>
      </c>
      <c r="C60">
        <v>40</v>
      </c>
      <c r="D60" t="s">
        <v>11</v>
      </c>
      <c r="E60" t="s">
        <v>48</v>
      </c>
      <c r="F60" t="s">
        <v>261</v>
      </c>
      <c r="G60" t="s">
        <v>21</v>
      </c>
      <c r="H60" t="s">
        <v>14</v>
      </c>
      <c r="I60" t="s">
        <v>28</v>
      </c>
      <c r="J60" t="s">
        <v>90</v>
      </c>
      <c r="K60" t="s">
        <v>104</v>
      </c>
      <c r="L60" s="5">
        <v>45708</v>
      </c>
      <c r="M60" s="7">
        <v>0.41666666666666669</v>
      </c>
      <c r="N60" s="7">
        <v>0.77083333333333337</v>
      </c>
      <c r="O60" t="s">
        <v>262</v>
      </c>
      <c r="P60" t="s">
        <v>100</v>
      </c>
      <c r="Q60">
        <v>1700</v>
      </c>
      <c r="R60">
        <v>27</v>
      </c>
      <c r="S60" t="s">
        <v>94</v>
      </c>
      <c r="T60">
        <v>0</v>
      </c>
      <c r="U60" t="s">
        <v>107</v>
      </c>
      <c r="V60" t="s">
        <v>103</v>
      </c>
      <c r="W60">
        <v>11000</v>
      </c>
    </row>
    <row r="61" spans="1:23" x14ac:dyDescent="0.35">
      <c r="A61" t="s">
        <v>263</v>
      </c>
      <c r="B61" t="s">
        <v>65</v>
      </c>
      <c r="C61">
        <v>25</v>
      </c>
      <c r="D61" t="s">
        <v>18</v>
      </c>
      <c r="E61" t="s">
        <v>19</v>
      </c>
      <c r="F61" t="s">
        <v>264</v>
      </c>
      <c r="G61" t="s">
        <v>13</v>
      </c>
      <c r="H61" t="s">
        <v>15</v>
      </c>
      <c r="I61" t="s">
        <v>33</v>
      </c>
      <c r="J61" t="s">
        <v>91</v>
      </c>
      <c r="K61" t="s">
        <v>108</v>
      </c>
      <c r="L61" s="5">
        <v>45708</v>
      </c>
      <c r="M61" s="7">
        <v>0.30902777777777779</v>
      </c>
      <c r="N61" s="7">
        <v>0.4236111111111111</v>
      </c>
      <c r="O61" t="s">
        <v>265</v>
      </c>
      <c r="P61" t="s">
        <v>93</v>
      </c>
      <c r="Q61">
        <v>140</v>
      </c>
      <c r="R61">
        <v>9.5</v>
      </c>
      <c r="S61" t="s">
        <v>101</v>
      </c>
      <c r="T61">
        <v>20</v>
      </c>
      <c r="U61" t="s">
        <v>102</v>
      </c>
      <c r="V61" t="s">
        <v>112</v>
      </c>
      <c r="W61">
        <v>2500</v>
      </c>
    </row>
    <row r="62" spans="1:23" x14ac:dyDescent="0.35">
      <c r="A62" t="s">
        <v>266</v>
      </c>
      <c r="B62" t="s">
        <v>62</v>
      </c>
      <c r="C62">
        <v>52</v>
      </c>
      <c r="D62" t="s">
        <v>11</v>
      </c>
      <c r="E62" t="s">
        <v>26</v>
      </c>
      <c r="F62" t="s">
        <v>267</v>
      </c>
      <c r="G62" t="s">
        <v>21</v>
      </c>
      <c r="H62" t="s">
        <v>22</v>
      </c>
      <c r="I62" t="s">
        <v>23</v>
      </c>
      <c r="J62" t="s">
        <v>97</v>
      </c>
      <c r="K62" t="s">
        <v>98</v>
      </c>
      <c r="L62" s="5">
        <v>45709</v>
      </c>
      <c r="M62" s="7">
        <v>0.97916666666666663</v>
      </c>
      <c r="N62" s="7">
        <v>0.12152777777777778</v>
      </c>
      <c r="O62" t="s">
        <v>268</v>
      </c>
      <c r="P62" t="s">
        <v>100</v>
      </c>
      <c r="Q62">
        <v>1300</v>
      </c>
      <c r="R62">
        <v>28</v>
      </c>
      <c r="S62" t="s">
        <v>94</v>
      </c>
      <c r="T62">
        <v>0</v>
      </c>
      <c r="U62" t="s">
        <v>107</v>
      </c>
      <c r="V62" t="s">
        <v>125</v>
      </c>
      <c r="W62">
        <v>14500</v>
      </c>
    </row>
    <row r="63" spans="1:23" x14ac:dyDescent="0.35">
      <c r="A63" t="s">
        <v>269</v>
      </c>
      <c r="B63" t="s">
        <v>131</v>
      </c>
      <c r="C63">
        <v>28</v>
      </c>
      <c r="D63" t="s">
        <v>18</v>
      </c>
      <c r="E63" t="s">
        <v>43</v>
      </c>
      <c r="F63" t="s">
        <v>270</v>
      </c>
      <c r="G63" t="s">
        <v>21</v>
      </c>
      <c r="H63" t="s">
        <v>15</v>
      </c>
      <c r="I63" t="s">
        <v>40</v>
      </c>
      <c r="J63" t="s">
        <v>91</v>
      </c>
      <c r="K63" t="s">
        <v>114</v>
      </c>
      <c r="L63" s="5">
        <v>45709</v>
      </c>
      <c r="M63" s="7">
        <v>0.1111111111111111</v>
      </c>
      <c r="N63" s="7">
        <v>0.63888888888888884</v>
      </c>
      <c r="O63" t="s">
        <v>271</v>
      </c>
      <c r="P63" t="s">
        <v>106</v>
      </c>
      <c r="Q63">
        <v>2600</v>
      </c>
      <c r="R63">
        <v>30.5</v>
      </c>
      <c r="S63" t="s">
        <v>111</v>
      </c>
      <c r="T63">
        <v>0</v>
      </c>
      <c r="U63" t="s">
        <v>95</v>
      </c>
      <c r="V63" t="s">
        <v>96</v>
      </c>
      <c r="W63">
        <v>14000</v>
      </c>
    </row>
    <row r="64" spans="1:23" x14ac:dyDescent="0.35">
      <c r="A64" t="s">
        <v>272</v>
      </c>
      <c r="B64" t="s">
        <v>273</v>
      </c>
      <c r="C64">
        <v>46</v>
      </c>
      <c r="D64" t="s">
        <v>11</v>
      </c>
      <c r="E64" t="s">
        <v>19</v>
      </c>
      <c r="F64" t="s">
        <v>274</v>
      </c>
      <c r="G64" t="s">
        <v>21</v>
      </c>
      <c r="H64" t="s">
        <v>14</v>
      </c>
      <c r="I64" t="s">
        <v>23</v>
      </c>
      <c r="J64" t="s">
        <v>90</v>
      </c>
      <c r="K64" t="s">
        <v>98</v>
      </c>
      <c r="L64" s="5">
        <v>45710</v>
      </c>
      <c r="M64" s="7">
        <v>0.55208333333333337</v>
      </c>
      <c r="N64" s="7">
        <v>0.72569444444444442</v>
      </c>
      <c r="O64" t="s">
        <v>275</v>
      </c>
      <c r="P64" t="s">
        <v>93</v>
      </c>
      <c r="Q64">
        <v>380</v>
      </c>
      <c r="R64">
        <v>15.8</v>
      </c>
      <c r="S64" t="s">
        <v>94</v>
      </c>
      <c r="T64">
        <v>0</v>
      </c>
      <c r="U64" t="s">
        <v>95</v>
      </c>
      <c r="V64" t="s">
        <v>103</v>
      </c>
      <c r="W64">
        <v>3100</v>
      </c>
    </row>
    <row r="65" spans="1:23" x14ac:dyDescent="0.35">
      <c r="A65" t="s">
        <v>276</v>
      </c>
      <c r="B65" t="s">
        <v>277</v>
      </c>
      <c r="C65">
        <v>24</v>
      </c>
      <c r="D65" t="s">
        <v>18</v>
      </c>
      <c r="E65" t="s">
        <v>31</v>
      </c>
      <c r="F65" t="s">
        <v>278</v>
      </c>
      <c r="G65" t="s">
        <v>21</v>
      </c>
      <c r="H65" t="s">
        <v>15</v>
      </c>
      <c r="I65" t="s">
        <v>34</v>
      </c>
      <c r="J65" t="s">
        <v>91</v>
      </c>
      <c r="K65" t="s">
        <v>109</v>
      </c>
      <c r="L65" s="5">
        <v>45710</v>
      </c>
      <c r="M65" s="7">
        <v>0.1736111111111111</v>
      </c>
      <c r="N65" s="7">
        <v>0.52083333333333337</v>
      </c>
      <c r="O65" t="s">
        <v>120</v>
      </c>
      <c r="P65" t="s">
        <v>93</v>
      </c>
      <c r="Q65">
        <v>360</v>
      </c>
      <c r="R65">
        <v>13</v>
      </c>
      <c r="S65" t="s">
        <v>101</v>
      </c>
      <c r="T65">
        <v>55</v>
      </c>
      <c r="U65" t="s">
        <v>102</v>
      </c>
      <c r="V65" t="s">
        <v>112</v>
      </c>
      <c r="W65">
        <v>2200</v>
      </c>
    </row>
    <row r="66" spans="1:23" x14ac:dyDescent="0.35">
      <c r="A66" t="s">
        <v>279</v>
      </c>
      <c r="B66" t="s">
        <v>135</v>
      </c>
      <c r="C66">
        <v>38</v>
      </c>
      <c r="D66" t="s">
        <v>11</v>
      </c>
      <c r="E66" t="s">
        <v>12</v>
      </c>
      <c r="F66" s="3" t="s">
        <v>280</v>
      </c>
      <c r="G66" t="s">
        <v>13</v>
      </c>
      <c r="H66" t="s">
        <v>22</v>
      </c>
      <c r="I66" t="s">
        <v>15</v>
      </c>
      <c r="J66" t="s">
        <v>97</v>
      </c>
      <c r="K66" t="s">
        <v>91</v>
      </c>
      <c r="L66" s="5">
        <v>45711</v>
      </c>
      <c r="M66" s="7">
        <v>0.48958333333333331</v>
      </c>
      <c r="N66" s="7">
        <v>0.57986111111111116</v>
      </c>
      <c r="O66" t="s">
        <v>281</v>
      </c>
      <c r="P66" t="s">
        <v>93</v>
      </c>
      <c r="Q66">
        <v>120</v>
      </c>
      <c r="R66">
        <v>8.5</v>
      </c>
      <c r="S66" t="s">
        <v>94</v>
      </c>
      <c r="T66">
        <v>0</v>
      </c>
      <c r="U66" t="s">
        <v>95</v>
      </c>
      <c r="V66" t="s">
        <v>103</v>
      </c>
      <c r="W66">
        <v>1600</v>
      </c>
    </row>
    <row r="67" spans="1:23" x14ac:dyDescent="0.35">
      <c r="A67" t="s">
        <v>282</v>
      </c>
      <c r="B67" t="s">
        <v>139</v>
      </c>
      <c r="C67">
        <v>26</v>
      </c>
      <c r="D67" t="s">
        <v>18</v>
      </c>
      <c r="E67" t="s">
        <v>19</v>
      </c>
      <c r="F67" t="s">
        <v>283</v>
      </c>
      <c r="G67" t="s">
        <v>13</v>
      </c>
      <c r="H67" t="s">
        <v>57</v>
      </c>
      <c r="I67" t="s">
        <v>39</v>
      </c>
      <c r="J67" t="s">
        <v>121</v>
      </c>
      <c r="K67" t="s">
        <v>113</v>
      </c>
      <c r="L67" s="5">
        <v>45711</v>
      </c>
      <c r="M67" s="7">
        <v>0.68055555555555558</v>
      </c>
      <c r="N67" s="7">
        <v>0.78472222222222221</v>
      </c>
      <c r="O67" t="s">
        <v>284</v>
      </c>
      <c r="P67" t="s">
        <v>93</v>
      </c>
      <c r="Q67">
        <v>145</v>
      </c>
      <c r="R67">
        <v>11</v>
      </c>
      <c r="S67" t="s">
        <v>111</v>
      </c>
      <c r="T67">
        <v>0</v>
      </c>
      <c r="U67" t="s">
        <v>102</v>
      </c>
      <c r="V67" t="s">
        <v>96</v>
      </c>
      <c r="W67">
        <v>2900</v>
      </c>
    </row>
    <row r="68" spans="1:23" x14ac:dyDescent="0.35">
      <c r="A68" t="s">
        <v>285</v>
      </c>
      <c r="B68" t="s">
        <v>143</v>
      </c>
      <c r="C68">
        <v>50</v>
      </c>
      <c r="D68" t="s">
        <v>11</v>
      </c>
      <c r="E68" t="s">
        <v>26</v>
      </c>
      <c r="F68" t="s">
        <v>144</v>
      </c>
      <c r="G68" t="s">
        <v>21</v>
      </c>
      <c r="H68" t="s">
        <v>14</v>
      </c>
      <c r="I68" t="s">
        <v>34</v>
      </c>
      <c r="J68" t="s">
        <v>90</v>
      </c>
      <c r="K68" t="s">
        <v>109</v>
      </c>
      <c r="L68" s="5">
        <v>45712</v>
      </c>
      <c r="M68" s="7">
        <v>0.88194444444444442</v>
      </c>
      <c r="N68" s="7">
        <v>0.2013888888888889</v>
      </c>
      <c r="O68" t="s">
        <v>145</v>
      </c>
      <c r="P68" t="s">
        <v>100</v>
      </c>
      <c r="Q68">
        <v>1450</v>
      </c>
      <c r="R68">
        <v>25.9</v>
      </c>
      <c r="S68" t="s">
        <v>94</v>
      </c>
      <c r="T68">
        <v>0</v>
      </c>
      <c r="U68" t="s">
        <v>107</v>
      </c>
      <c r="V68" t="s">
        <v>125</v>
      </c>
      <c r="W68">
        <v>11800</v>
      </c>
    </row>
    <row r="69" spans="1:23" x14ac:dyDescent="0.35">
      <c r="A69" t="s">
        <v>286</v>
      </c>
      <c r="B69" t="s">
        <v>147</v>
      </c>
      <c r="C69">
        <v>23</v>
      </c>
      <c r="D69" t="s">
        <v>18</v>
      </c>
      <c r="E69" t="s">
        <v>31</v>
      </c>
      <c r="F69" t="s">
        <v>148</v>
      </c>
      <c r="G69" t="s">
        <v>21</v>
      </c>
      <c r="H69" t="s">
        <v>15</v>
      </c>
      <c r="I69" t="s">
        <v>23</v>
      </c>
      <c r="J69" t="s">
        <v>91</v>
      </c>
      <c r="K69" t="s">
        <v>98</v>
      </c>
      <c r="L69" s="5">
        <v>45712</v>
      </c>
      <c r="M69" s="7">
        <v>0.18402777777777779</v>
      </c>
      <c r="N69" s="7">
        <v>0.33333333333333331</v>
      </c>
      <c r="O69" t="s">
        <v>149</v>
      </c>
      <c r="P69" t="s">
        <v>93</v>
      </c>
      <c r="Q69">
        <v>330</v>
      </c>
      <c r="R69">
        <v>13.5</v>
      </c>
      <c r="S69" t="s">
        <v>111</v>
      </c>
      <c r="T69">
        <v>0</v>
      </c>
      <c r="U69" t="s">
        <v>102</v>
      </c>
      <c r="V69" t="s">
        <v>112</v>
      </c>
      <c r="W69">
        <v>2100</v>
      </c>
    </row>
    <row r="70" spans="1:23" x14ac:dyDescent="0.35">
      <c r="A70" t="s">
        <v>287</v>
      </c>
      <c r="B70" t="s">
        <v>151</v>
      </c>
      <c r="C70">
        <v>42</v>
      </c>
      <c r="D70" t="s">
        <v>11</v>
      </c>
      <c r="E70" t="s">
        <v>12</v>
      </c>
      <c r="F70" s="11" t="s">
        <v>717</v>
      </c>
      <c r="G70" t="s">
        <v>13</v>
      </c>
      <c r="H70" t="s">
        <v>22</v>
      </c>
      <c r="I70" t="s">
        <v>57</v>
      </c>
      <c r="J70" t="s">
        <v>97</v>
      </c>
      <c r="K70" t="s">
        <v>121</v>
      </c>
      <c r="L70" s="5">
        <v>45713</v>
      </c>
      <c r="M70" s="7">
        <v>0.34027777777777779</v>
      </c>
      <c r="N70" s="7">
        <v>0.44791666666666669</v>
      </c>
      <c r="O70" t="s">
        <v>152</v>
      </c>
      <c r="P70" t="s">
        <v>93</v>
      </c>
      <c r="Q70">
        <v>130</v>
      </c>
      <c r="R70">
        <v>12.5</v>
      </c>
      <c r="S70" t="s">
        <v>94</v>
      </c>
      <c r="T70">
        <v>0</v>
      </c>
      <c r="U70" t="s">
        <v>95</v>
      </c>
      <c r="V70" t="s">
        <v>96</v>
      </c>
      <c r="W70">
        <v>2000</v>
      </c>
    </row>
    <row r="71" spans="1:23" x14ac:dyDescent="0.35">
      <c r="A71" t="s">
        <v>288</v>
      </c>
      <c r="B71" t="s">
        <v>154</v>
      </c>
      <c r="C71">
        <v>35</v>
      </c>
      <c r="D71" t="s">
        <v>18</v>
      </c>
      <c r="E71" t="s">
        <v>19</v>
      </c>
      <c r="F71" t="s">
        <v>155</v>
      </c>
      <c r="G71" t="s">
        <v>21</v>
      </c>
      <c r="H71" t="s">
        <v>15</v>
      </c>
      <c r="I71" t="s">
        <v>28</v>
      </c>
      <c r="J71" t="s">
        <v>91</v>
      </c>
      <c r="K71" t="s">
        <v>104</v>
      </c>
      <c r="L71" s="5">
        <v>45713</v>
      </c>
      <c r="M71" s="7">
        <v>5.5555555555555552E-2</v>
      </c>
      <c r="N71" s="7">
        <v>0.40277777777777779</v>
      </c>
      <c r="O71" t="s">
        <v>156</v>
      </c>
      <c r="P71" t="s">
        <v>100</v>
      </c>
      <c r="Q71">
        <v>1750</v>
      </c>
      <c r="R71">
        <v>25</v>
      </c>
      <c r="S71" t="s">
        <v>101</v>
      </c>
      <c r="T71">
        <v>40</v>
      </c>
      <c r="U71" t="s">
        <v>107</v>
      </c>
      <c r="V71" t="s">
        <v>103</v>
      </c>
      <c r="W71">
        <v>11200</v>
      </c>
    </row>
    <row r="72" spans="1:23" x14ac:dyDescent="0.35">
      <c r="A72" t="s">
        <v>289</v>
      </c>
      <c r="B72" t="s">
        <v>158</v>
      </c>
      <c r="C72">
        <v>44</v>
      </c>
      <c r="D72" t="s">
        <v>11</v>
      </c>
      <c r="E72" t="s">
        <v>26</v>
      </c>
      <c r="F72" t="s">
        <v>159</v>
      </c>
      <c r="G72" t="s">
        <v>21</v>
      </c>
      <c r="H72" t="s">
        <v>22</v>
      </c>
      <c r="I72" t="s">
        <v>23</v>
      </c>
      <c r="J72" t="s">
        <v>97</v>
      </c>
      <c r="K72" t="s">
        <v>98</v>
      </c>
      <c r="L72" s="5">
        <v>45714</v>
      </c>
      <c r="M72" s="7">
        <v>0.97916666666666663</v>
      </c>
      <c r="N72" s="7">
        <v>9.0277777777777776E-2</v>
      </c>
      <c r="O72" t="s">
        <v>160</v>
      </c>
      <c r="P72" t="s">
        <v>93</v>
      </c>
      <c r="Q72">
        <v>420</v>
      </c>
      <c r="R72">
        <v>18</v>
      </c>
      <c r="S72" t="s">
        <v>94</v>
      </c>
      <c r="T72">
        <v>0</v>
      </c>
      <c r="U72" t="s">
        <v>102</v>
      </c>
      <c r="V72" t="s">
        <v>96</v>
      </c>
      <c r="W72">
        <v>3200</v>
      </c>
    </row>
    <row r="73" spans="1:23" x14ac:dyDescent="0.35">
      <c r="A73" t="s">
        <v>290</v>
      </c>
      <c r="B73" t="s">
        <v>162</v>
      </c>
      <c r="C73">
        <v>31</v>
      </c>
      <c r="D73" t="s">
        <v>18</v>
      </c>
      <c r="E73" t="s">
        <v>31</v>
      </c>
      <c r="F73" t="s">
        <v>163</v>
      </c>
      <c r="G73" t="s">
        <v>21</v>
      </c>
      <c r="H73" t="s">
        <v>39</v>
      </c>
      <c r="I73" t="s">
        <v>34</v>
      </c>
      <c r="J73" t="s">
        <v>113</v>
      </c>
      <c r="K73" t="s">
        <v>109</v>
      </c>
      <c r="L73" s="5">
        <v>45714</v>
      </c>
      <c r="M73" s="7">
        <v>0.38541666666666669</v>
      </c>
      <c r="N73" s="7">
        <v>0.64583333333333337</v>
      </c>
      <c r="O73" t="s">
        <v>164</v>
      </c>
      <c r="P73" t="s">
        <v>118</v>
      </c>
      <c r="Q73">
        <v>780</v>
      </c>
      <c r="R73">
        <v>20.2</v>
      </c>
      <c r="S73" t="s">
        <v>101</v>
      </c>
      <c r="T73">
        <v>55</v>
      </c>
      <c r="U73" t="s">
        <v>95</v>
      </c>
      <c r="V73" t="s">
        <v>112</v>
      </c>
      <c r="W73">
        <v>6100</v>
      </c>
    </row>
    <row r="74" spans="1:23" x14ac:dyDescent="0.35">
      <c r="A74" t="s">
        <v>291</v>
      </c>
      <c r="B74" t="s">
        <v>166</v>
      </c>
      <c r="C74">
        <v>37</v>
      </c>
      <c r="D74" t="s">
        <v>11</v>
      </c>
      <c r="E74" t="s">
        <v>43</v>
      </c>
      <c r="F74" t="s">
        <v>167</v>
      </c>
      <c r="G74" t="s">
        <v>21</v>
      </c>
      <c r="H74" t="s">
        <v>15</v>
      </c>
      <c r="I74" t="s">
        <v>45</v>
      </c>
      <c r="J74" t="s">
        <v>91</v>
      </c>
      <c r="K74" t="s">
        <v>116</v>
      </c>
      <c r="L74" s="5">
        <v>45715</v>
      </c>
      <c r="M74" s="7">
        <v>0.15972222222222221</v>
      </c>
      <c r="N74" s="7">
        <v>0.46527777777777779</v>
      </c>
      <c r="O74" t="s">
        <v>168</v>
      </c>
      <c r="P74" t="s">
        <v>100</v>
      </c>
      <c r="Q74">
        <v>1400</v>
      </c>
      <c r="R74">
        <v>23.5</v>
      </c>
      <c r="S74" t="s">
        <v>94</v>
      </c>
      <c r="T74">
        <v>0</v>
      </c>
      <c r="U74" t="s">
        <v>107</v>
      </c>
      <c r="V74" t="s">
        <v>103</v>
      </c>
      <c r="W74">
        <v>9200</v>
      </c>
    </row>
    <row r="75" spans="1:23" x14ac:dyDescent="0.35">
      <c r="A75" t="s">
        <v>292</v>
      </c>
      <c r="B75" t="s">
        <v>170</v>
      </c>
      <c r="C75">
        <v>28</v>
      </c>
      <c r="D75" t="s">
        <v>18</v>
      </c>
      <c r="E75" t="s">
        <v>52</v>
      </c>
      <c r="F75" t="s">
        <v>171</v>
      </c>
      <c r="G75" t="s">
        <v>21</v>
      </c>
      <c r="H75" t="s">
        <v>22</v>
      </c>
      <c r="I75" t="s">
        <v>40</v>
      </c>
      <c r="J75" t="s">
        <v>97</v>
      </c>
      <c r="K75" t="s">
        <v>114</v>
      </c>
      <c r="L75" s="5">
        <v>45715</v>
      </c>
      <c r="M75" s="7">
        <v>0.27777777777777779</v>
      </c>
      <c r="N75" s="7">
        <v>0.74652777777777779</v>
      </c>
      <c r="O75" t="s">
        <v>172</v>
      </c>
      <c r="P75" t="s">
        <v>93</v>
      </c>
      <c r="Q75">
        <v>760</v>
      </c>
      <c r="R75">
        <v>16.8</v>
      </c>
      <c r="S75" t="s">
        <v>111</v>
      </c>
      <c r="T75">
        <v>0</v>
      </c>
      <c r="U75" t="s">
        <v>95</v>
      </c>
      <c r="V75" t="s">
        <v>96</v>
      </c>
      <c r="W75">
        <v>4100</v>
      </c>
    </row>
    <row r="76" spans="1:23" x14ac:dyDescent="0.35">
      <c r="A76" t="s">
        <v>293</v>
      </c>
      <c r="B76" t="s">
        <v>174</v>
      </c>
      <c r="C76">
        <v>49</v>
      </c>
      <c r="D76" t="s">
        <v>11</v>
      </c>
      <c r="E76" t="s">
        <v>12</v>
      </c>
      <c r="F76" s="3" t="s">
        <v>175</v>
      </c>
      <c r="G76" t="s">
        <v>13</v>
      </c>
      <c r="H76" t="s">
        <v>15</v>
      </c>
      <c r="I76" t="s">
        <v>33</v>
      </c>
      <c r="J76" t="s">
        <v>91</v>
      </c>
      <c r="K76" t="s">
        <v>108</v>
      </c>
      <c r="L76" s="5">
        <v>45716</v>
      </c>
      <c r="M76" s="7">
        <v>0.47222222222222221</v>
      </c>
      <c r="N76" s="7">
        <v>0.56944444444444442</v>
      </c>
      <c r="O76" t="s">
        <v>176</v>
      </c>
      <c r="P76" t="s">
        <v>93</v>
      </c>
      <c r="Q76">
        <v>120</v>
      </c>
      <c r="R76">
        <v>9.1999999999999993</v>
      </c>
      <c r="S76" t="s">
        <v>94</v>
      </c>
      <c r="T76">
        <v>0</v>
      </c>
      <c r="U76" t="s">
        <v>102</v>
      </c>
      <c r="V76" t="s">
        <v>103</v>
      </c>
      <c r="W76">
        <v>1800</v>
      </c>
    </row>
    <row r="77" spans="1:23" x14ac:dyDescent="0.35">
      <c r="A77" t="s">
        <v>294</v>
      </c>
      <c r="B77" t="s">
        <v>178</v>
      </c>
      <c r="C77">
        <v>26</v>
      </c>
      <c r="D77" t="s">
        <v>18</v>
      </c>
      <c r="E77" t="s">
        <v>19</v>
      </c>
      <c r="F77" t="s">
        <v>179</v>
      </c>
      <c r="G77" t="s">
        <v>13</v>
      </c>
      <c r="H77" t="s">
        <v>57</v>
      </c>
      <c r="I77" t="s">
        <v>39</v>
      </c>
      <c r="J77" t="s">
        <v>121</v>
      </c>
      <c r="K77" t="s">
        <v>113</v>
      </c>
      <c r="L77" s="5">
        <v>45716</v>
      </c>
      <c r="M77" s="7">
        <v>0.63194444444444442</v>
      </c>
      <c r="N77" s="7">
        <v>0.73263888888888884</v>
      </c>
      <c r="O77" t="s">
        <v>180</v>
      </c>
      <c r="P77" t="s">
        <v>93</v>
      </c>
      <c r="Q77">
        <v>140</v>
      </c>
      <c r="R77">
        <v>11</v>
      </c>
      <c r="S77" t="s">
        <v>101</v>
      </c>
      <c r="T77">
        <v>25</v>
      </c>
      <c r="U77" t="s">
        <v>95</v>
      </c>
      <c r="V77" t="s">
        <v>96</v>
      </c>
      <c r="W77">
        <v>2500</v>
      </c>
    </row>
    <row r="78" spans="1:23" x14ac:dyDescent="0.35">
      <c r="A78" t="s">
        <v>295</v>
      </c>
      <c r="B78" t="s">
        <v>182</v>
      </c>
      <c r="C78">
        <v>33</v>
      </c>
      <c r="D78" t="s">
        <v>11</v>
      </c>
      <c r="E78" t="s">
        <v>37</v>
      </c>
      <c r="F78" t="s">
        <v>38</v>
      </c>
      <c r="G78" t="s">
        <v>21</v>
      </c>
      <c r="H78" t="s">
        <v>33</v>
      </c>
      <c r="I78" t="s">
        <v>34</v>
      </c>
      <c r="J78" t="s">
        <v>108</v>
      </c>
      <c r="K78" t="s">
        <v>109</v>
      </c>
      <c r="L78" s="5">
        <v>45717</v>
      </c>
      <c r="M78" s="7">
        <v>0.85416666666666663</v>
      </c>
      <c r="N78" s="7">
        <v>9.7222222222222224E-2</v>
      </c>
      <c r="O78" t="s">
        <v>183</v>
      </c>
      <c r="P78" t="s">
        <v>100</v>
      </c>
      <c r="Q78">
        <v>1350</v>
      </c>
      <c r="R78">
        <v>24</v>
      </c>
      <c r="S78" t="s">
        <v>94</v>
      </c>
      <c r="T78">
        <v>0</v>
      </c>
      <c r="U78" t="s">
        <v>102</v>
      </c>
      <c r="V78" t="s">
        <v>103</v>
      </c>
      <c r="W78">
        <v>8800</v>
      </c>
    </row>
    <row r="79" spans="1:23" x14ac:dyDescent="0.35">
      <c r="A79" t="s">
        <v>296</v>
      </c>
      <c r="B79" t="s">
        <v>185</v>
      </c>
      <c r="C79">
        <v>29</v>
      </c>
      <c r="D79" t="s">
        <v>18</v>
      </c>
      <c r="E79" t="s">
        <v>48</v>
      </c>
      <c r="F79" t="s">
        <v>186</v>
      </c>
      <c r="G79" t="s">
        <v>21</v>
      </c>
      <c r="H79" t="s">
        <v>14</v>
      </c>
      <c r="I79" t="s">
        <v>28</v>
      </c>
      <c r="J79" t="s">
        <v>90</v>
      </c>
      <c r="K79" t="s">
        <v>104</v>
      </c>
      <c r="L79" s="5">
        <v>45717</v>
      </c>
      <c r="M79" s="7">
        <v>0.4201388888888889</v>
      </c>
      <c r="N79" s="7">
        <v>0.76041666666666663</v>
      </c>
      <c r="O79" t="s">
        <v>187</v>
      </c>
      <c r="P79" t="s">
        <v>118</v>
      </c>
      <c r="Q79">
        <v>980</v>
      </c>
      <c r="R79">
        <v>19.5</v>
      </c>
      <c r="S79" t="s">
        <v>111</v>
      </c>
      <c r="T79">
        <v>0</v>
      </c>
      <c r="U79" t="s">
        <v>107</v>
      </c>
      <c r="V79" t="s">
        <v>96</v>
      </c>
      <c r="W79">
        <v>5400</v>
      </c>
    </row>
    <row r="80" spans="1:23" x14ac:dyDescent="0.35">
      <c r="A80" t="s">
        <v>297</v>
      </c>
      <c r="B80" t="s">
        <v>189</v>
      </c>
      <c r="C80">
        <v>41</v>
      </c>
      <c r="D80" t="s">
        <v>11</v>
      </c>
      <c r="E80" t="s">
        <v>26</v>
      </c>
      <c r="F80" t="s">
        <v>190</v>
      </c>
      <c r="G80" t="s">
        <v>21</v>
      </c>
      <c r="H80" t="s">
        <v>22</v>
      </c>
      <c r="I80" t="s">
        <v>23</v>
      </c>
      <c r="J80" t="s">
        <v>97</v>
      </c>
      <c r="K80" t="s">
        <v>98</v>
      </c>
      <c r="L80" s="5">
        <v>45718</v>
      </c>
      <c r="M80" s="7">
        <v>0.96527777777777779</v>
      </c>
      <c r="N80" s="7">
        <v>0.11805555555555555</v>
      </c>
      <c r="O80" t="s">
        <v>191</v>
      </c>
      <c r="P80" t="s">
        <v>100</v>
      </c>
      <c r="Q80">
        <v>1250</v>
      </c>
      <c r="R80">
        <v>27</v>
      </c>
      <c r="S80" t="s">
        <v>94</v>
      </c>
      <c r="T80">
        <v>0</v>
      </c>
      <c r="U80" t="s">
        <v>95</v>
      </c>
      <c r="V80" t="s">
        <v>125</v>
      </c>
      <c r="W80">
        <v>13500</v>
      </c>
    </row>
    <row r="81" spans="1:23" x14ac:dyDescent="0.35">
      <c r="A81" t="s">
        <v>298</v>
      </c>
      <c r="B81" t="s">
        <v>193</v>
      </c>
      <c r="C81">
        <v>27</v>
      </c>
      <c r="D81" t="s">
        <v>18</v>
      </c>
      <c r="E81" t="s">
        <v>12</v>
      </c>
      <c r="F81" s="3" t="s">
        <v>194</v>
      </c>
      <c r="G81" t="s">
        <v>13</v>
      </c>
      <c r="H81" t="s">
        <v>15</v>
      </c>
      <c r="I81" t="s">
        <v>14</v>
      </c>
      <c r="J81" t="s">
        <v>91</v>
      </c>
      <c r="K81" t="s">
        <v>90</v>
      </c>
      <c r="L81" s="5">
        <v>45718</v>
      </c>
      <c r="M81" s="7">
        <v>0.3125</v>
      </c>
      <c r="N81" s="7">
        <v>0.4201388888888889</v>
      </c>
      <c r="O81" t="s">
        <v>195</v>
      </c>
      <c r="P81" t="s">
        <v>93</v>
      </c>
      <c r="Q81">
        <v>135</v>
      </c>
      <c r="R81">
        <v>10</v>
      </c>
      <c r="S81" t="s">
        <v>101</v>
      </c>
      <c r="T81">
        <v>20</v>
      </c>
      <c r="U81" t="s">
        <v>102</v>
      </c>
      <c r="V81" t="s">
        <v>112</v>
      </c>
      <c r="W81">
        <v>3100</v>
      </c>
    </row>
    <row r="82" spans="1:23" x14ac:dyDescent="0.35">
      <c r="A82" t="s">
        <v>299</v>
      </c>
      <c r="B82" t="s">
        <v>197</v>
      </c>
      <c r="C82">
        <v>38</v>
      </c>
      <c r="D82" t="s">
        <v>11</v>
      </c>
      <c r="E82" t="s">
        <v>19</v>
      </c>
      <c r="F82" t="s">
        <v>198</v>
      </c>
      <c r="G82" t="s">
        <v>21</v>
      </c>
      <c r="H82" t="s">
        <v>22</v>
      </c>
      <c r="I82" t="s">
        <v>40</v>
      </c>
      <c r="J82" t="s">
        <v>97</v>
      </c>
      <c r="K82" t="s">
        <v>114</v>
      </c>
      <c r="L82" s="5">
        <v>45719</v>
      </c>
      <c r="M82" s="7">
        <v>9.375E-2</v>
      </c>
      <c r="N82" s="7">
        <v>0.60416666666666663</v>
      </c>
      <c r="O82" t="s">
        <v>199</v>
      </c>
      <c r="P82" t="s">
        <v>100</v>
      </c>
      <c r="Q82">
        <v>1950</v>
      </c>
      <c r="R82">
        <v>28.5</v>
      </c>
      <c r="S82" t="s">
        <v>94</v>
      </c>
      <c r="T82">
        <v>0</v>
      </c>
      <c r="U82" t="s">
        <v>107</v>
      </c>
      <c r="V82" t="s">
        <v>103</v>
      </c>
      <c r="W82">
        <v>9900</v>
      </c>
    </row>
    <row r="83" spans="1:23" x14ac:dyDescent="0.35">
      <c r="A83" t="s">
        <v>300</v>
      </c>
      <c r="B83" t="s">
        <v>147</v>
      </c>
      <c r="C83">
        <v>24</v>
      </c>
      <c r="D83" t="s">
        <v>18</v>
      </c>
      <c r="E83" t="s">
        <v>31</v>
      </c>
      <c r="F83" t="s">
        <v>201</v>
      </c>
      <c r="G83" t="s">
        <v>21</v>
      </c>
      <c r="H83" t="s">
        <v>15</v>
      </c>
      <c r="I83" t="s">
        <v>23</v>
      </c>
      <c r="J83" t="s">
        <v>91</v>
      </c>
      <c r="K83" t="s">
        <v>98</v>
      </c>
      <c r="L83" s="5">
        <v>45719</v>
      </c>
      <c r="M83" s="7">
        <v>0.2013888888888889</v>
      </c>
      <c r="N83" s="7">
        <v>0.35069444444444442</v>
      </c>
      <c r="O83" t="s">
        <v>202</v>
      </c>
      <c r="P83" t="s">
        <v>93</v>
      </c>
      <c r="Q83">
        <v>340</v>
      </c>
      <c r="R83">
        <v>13.2</v>
      </c>
      <c r="S83" t="s">
        <v>111</v>
      </c>
      <c r="T83">
        <v>0</v>
      </c>
      <c r="U83" t="s">
        <v>95</v>
      </c>
      <c r="V83" t="s">
        <v>112</v>
      </c>
      <c r="W83">
        <v>2100</v>
      </c>
    </row>
    <row r="84" spans="1:23" x14ac:dyDescent="0.35">
      <c r="A84" t="s">
        <v>301</v>
      </c>
      <c r="B84" t="s">
        <v>55</v>
      </c>
      <c r="C84">
        <v>36</v>
      </c>
      <c r="D84" t="s">
        <v>11</v>
      </c>
      <c r="E84" t="s">
        <v>12</v>
      </c>
      <c r="F84" s="3" t="s">
        <v>204</v>
      </c>
      <c r="G84" t="s">
        <v>13</v>
      </c>
      <c r="H84" t="s">
        <v>57</v>
      </c>
      <c r="I84" t="s">
        <v>22</v>
      </c>
      <c r="J84" t="s">
        <v>121</v>
      </c>
      <c r="K84" t="s">
        <v>97</v>
      </c>
      <c r="L84" s="5">
        <v>45720</v>
      </c>
      <c r="M84" s="7">
        <v>0.52777777777777779</v>
      </c>
      <c r="N84" s="7">
        <v>0.63194444444444442</v>
      </c>
      <c r="O84" t="s">
        <v>205</v>
      </c>
      <c r="P84" t="s">
        <v>93</v>
      </c>
      <c r="Q84">
        <v>150</v>
      </c>
      <c r="R84">
        <v>12.8</v>
      </c>
      <c r="S84" t="s">
        <v>94</v>
      </c>
      <c r="T84">
        <v>0</v>
      </c>
      <c r="U84" t="s">
        <v>102</v>
      </c>
      <c r="V84" t="s">
        <v>103</v>
      </c>
      <c r="W84">
        <v>1900</v>
      </c>
    </row>
    <row r="85" spans="1:23" x14ac:dyDescent="0.35">
      <c r="A85" t="s">
        <v>302</v>
      </c>
      <c r="B85" t="s">
        <v>59</v>
      </c>
      <c r="C85">
        <v>30</v>
      </c>
      <c r="D85" t="s">
        <v>18</v>
      </c>
      <c r="E85" t="s">
        <v>43</v>
      </c>
      <c r="F85" t="s">
        <v>207</v>
      </c>
      <c r="G85" t="s">
        <v>21</v>
      </c>
      <c r="H85" t="s">
        <v>15</v>
      </c>
      <c r="I85" t="s">
        <v>45</v>
      </c>
      <c r="J85" t="s">
        <v>91</v>
      </c>
      <c r="K85" t="s">
        <v>116</v>
      </c>
      <c r="L85" s="5">
        <v>45720</v>
      </c>
      <c r="M85" s="7">
        <v>0.1423611111111111</v>
      </c>
      <c r="N85" s="7">
        <v>0.46180555555555558</v>
      </c>
      <c r="O85" t="s">
        <v>208</v>
      </c>
      <c r="P85" t="s">
        <v>118</v>
      </c>
      <c r="Q85">
        <v>990</v>
      </c>
      <c r="R85">
        <v>21.5</v>
      </c>
      <c r="S85" t="s">
        <v>101</v>
      </c>
      <c r="T85">
        <v>35</v>
      </c>
      <c r="U85" t="s">
        <v>95</v>
      </c>
      <c r="V85" t="s">
        <v>96</v>
      </c>
      <c r="W85">
        <v>6100</v>
      </c>
    </row>
    <row r="86" spans="1:23" x14ac:dyDescent="0.35">
      <c r="A86" t="s">
        <v>303</v>
      </c>
      <c r="B86" t="s">
        <v>62</v>
      </c>
      <c r="C86">
        <v>52</v>
      </c>
      <c r="D86" t="s">
        <v>11</v>
      </c>
      <c r="E86" t="s">
        <v>26</v>
      </c>
      <c r="F86" t="s">
        <v>63</v>
      </c>
      <c r="G86" t="s">
        <v>21</v>
      </c>
      <c r="H86" t="s">
        <v>22</v>
      </c>
      <c r="I86" t="s">
        <v>23</v>
      </c>
      <c r="J86" t="s">
        <v>97</v>
      </c>
      <c r="K86" t="s">
        <v>98</v>
      </c>
      <c r="L86" s="5">
        <v>45721</v>
      </c>
      <c r="M86" s="7">
        <v>0.98958333333333337</v>
      </c>
      <c r="N86" s="7">
        <v>0.13194444444444445</v>
      </c>
      <c r="O86" t="s">
        <v>210</v>
      </c>
      <c r="P86" t="s">
        <v>100</v>
      </c>
      <c r="Q86">
        <v>1200</v>
      </c>
      <c r="R86">
        <v>29</v>
      </c>
      <c r="S86" t="s">
        <v>94</v>
      </c>
      <c r="T86">
        <v>0</v>
      </c>
      <c r="U86" t="s">
        <v>107</v>
      </c>
      <c r="V86" t="s">
        <v>125</v>
      </c>
      <c r="W86">
        <v>14000</v>
      </c>
    </row>
    <row r="87" spans="1:23" x14ac:dyDescent="0.35">
      <c r="A87" t="s">
        <v>304</v>
      </c>
      <c r="B87" t="s">
        <v>65</v>
      </c>
      <c r="C87">
        <v>24</v>
      </c>
      <c r="D87" t="s">
        <v>18</v>
      </c>
      <c r="E87" t="s">
        <v>12</v>
      </c>
      <c r="F87" s="3" t="s">
        <v>66</v>
      </c>
      <c r="G87" t="s">
        <v>13</v>
      </c>
      <c r="H87" t="s">
        <v>39</v>
      </c>
      <c r="I87" t="s">
        <v>15</v>
      </c>
      <c r="J87" t="s">
        <v>113</v>
      </c>
      <c r="K87" t="s">
        <v>91</v>
      </c>
      <c r="L87" s="5">
        <v>45721</v>
      </c>
      <c r="M87" s="7">
        <v>0.26041666666666669</v>
      </c>
      <c r="N87" s="7">
        <v>0.36805555555555558</v>
      </c>
      <c r="O87" t="s">
        <v>212</v>
      </c>
      <c r="P87" t="s">
        <v>93</v>
      </c>
      <c r="Q87">
        <v>160</v>
      </c>
      <c r="R87">
        <v>10.4</v>
      </c>
      <c r="S87" t="s">
        <v>111</v>
      </c>
      <c r="T87">
        <v>0</v>
      </c>
      <c r="U87" t="s">
        <v>102</v>
      </c>
      <c r="V87" t="s">
        <v>112</v>
      </c>
      <c r="W87">
        <v>900</v>
      </c>
    </row>
    <row r="88" spans="1:23" x14ac:dyDescent="0.35">
      <c r="A88" t="s">
        <v>305</v>
      </c>
      <c r="B88" t="s">
        <v>68</v>
      </c>
      <c r="C88">
        <v>40</v>
      </c>
      <c r="D88" t="s">
        <v>11</v>
      </c>
      <c r="E88" t="s">
        <v>37</v>
      </c>
      <c r="F88" t="s">
        <v>214</v>
      </c>
      <c r="G88" t="s">
        <v>21</v>
      </c>
      <c r="H88" t="s">
        <v>33</v>
      </c>
      <c r="I88" t="s">
        <v>34</v>
      </c>
      <c r="J88" t="s">
        <v>108</v>
      </c>
      <c r="K88" t="s">
        <v>109</v>
      </c>
      <c r="L88" s="5">
        <v>45722</v>
      </c>
      <c r="M88" s="7">
        <v>0.88194444444444442</v>
      </c>
      <c r="N88" s="7">
        <v>0.125</v>
      </c>
      <c r="O88" t="s">
        <v>127</v>
      </c>
      <c r="P88" t="s">
        <v>100</v>
      </c>
      <c r="Q88">
        <v>1340</v>
      </c>
      <c r="R88">
        <v>22.6</v>
      </c>
      <c r="S88" t="s">
        <v>94</v>
      </c>
      <c r="T88">
        <v>0</v>
      </c>
      <c r="U88" t="s">
        <v>95</v>
      </c>
      <c r="V88" t="s">
        <v>103</v>
      </c>
      <c r="W88">
        <v>8700</v>
      </c>
    </row>
    <row r="89" spans="1:23" x14ac:dyDescent="0.35">
      <c r="A89" t="s">
        <v>306</v>
      </c>
      <c r="B89" t="s">
        <v>71</v>
      </c>
      <c r="C89">
        <v>33</v>
      </c>
      <c r="D89" t="s">
        <v>18</v>
      </c>
      <c r="E89" t="s">
        <v>43</v>
      </c>
      <c r="F89" t="s">
        <v>72</v>
      </c>
      <c r="G89" t="s">
        <v>21</v>
      </c>
      <c r="H89" t="s">
        <v>15</v>
      </c>
      <c r="I89" t="s">
        <v>40</v>
      </c>
      <c r="J89" t="s">
        <v>91</v>
      </c>
      <c r="K89" t="s">
        <v>114</v>
      </c>
      <c r="L89" s="5">
        <v>45722</v>
      </c>
      <c r="M89" s="7">
        <v>0.11805555555555555</v>
      </c>
      <c r="N89" s="7">
        <v>0.64583333333333337</v>
      </c>
      <c r="O89" t="s">
        <v>128</v>
      </c>
      <c r="P89" t="s">
        <v>106</v>
      </c>
      <c r="Q89">
        <v>2600</v>
      </c>
      <c r="R89">
        <v>31.4</v>
      </c>
      <c r="S89" t="s">
        <v>101</v>
      </c>
      <c r="T89">
        <v>90</v>
      </c>
      <c r="U89" t="s">
        <v>107</v>
      </c>
      <c r="V89" t="s">
        <v>96</v>
      </c>
      <c r="W89">
        <v>15000</v>
      </c>
    </row>
    <row r="90" spans="1:23" x14ac:dyDescent="0.35">
      <c r="A90" t="s">
        <v>307</v>
      </c>
      <c r="B90" t="s">
        <v>74</v>
      </c>
      <c r="C90">
        <v>47</v>
      </c>
      <c r="D90" t="s">
        <v>11</v>
      </c>
      <c r="E90" t="s">
        <v>19</v>
      </c>
      <c r="F90" t="s">
        <v>75</v>
      </c>
      <c r="G90" t="s">
        <v>21</v>
      </c>
      <c r="H90" t="s">
        <v>14</v>
      </c>
      <c r="I90" t="s">
        <v>23</v>
      </c>
      <c r="J90" t="s">
        <v>90</v>
      </c>
      <c r="K90" t="s">
        <v>98</v>
      </c>
      <c r="L90" s="5">
        <v>45723</v>
      </c>
      <c r="M90" s="7">
        <v>0.54513888888888884</v>
      </c>
      <c r="N90" s="7">
        <v>0.71875</v>
      </c>
      <c r="O90" t="s">
        <v>129</v>
      </c>
      <c r="P90" t="s">
        <v>93</v>
      </c>
      <c r="Q90">
        <v>390</v>
      </c>
      <c r="R90">
        <v>16.100000000000001</v>
      </c>
      <c r="S90" t="s">
        <v>94</v>
      </c>
      <c r="T90">
        <v>0</v>
      </c>
      <c r="U90" t="s">
        <v>95</v>
      </c>
      <c r="V90" t="s">
        <v>103</v>
      </c>
      <c r="W90">
        <v>3000</v>
      </c>
    </row>
    <row r="91" spans="1:23" x14ac:dyDescent="0.35">
      <c r="A91" t="s">
        <v>308</v>
      </c>
      <c r="B91" t="s">
        <v>131</v>
      </c>
      <c r="C91">
        <v>28</v>
      </c>
      <c r="D91" t="s">
        <v>18</v>
      </c>
      <c r="E91" t="s">
        <v>52</v>
      </c>
      <c r="F91" t="s">
        <v>132</v>
      </c>
      <c r="G91" t="s">
        <v>21</v>
      </c>
      <c r="H91" t="s">
        <v>33</v>
      </c>
      <c r="I91" t="s">
        <v>28</v>
      </c>
      <c r="J91" t="s">
        <v>108</v>
      </c>
      <c r="K91" t="s">
        <v>104</v>
      </c>
      <c r="L91" s="5">
        <v>45723</v>
      </c>
      <c r="M91" s="7">
        <v>0.32291666666666669</v>
      </c>
      <c r="N91" s="7">
        <v>0.75694444444444442</v>
      </c>
      <c r="O91" t="s">
        <v>133</v>
      </c>
      <c r="P91" t="s">
        <v>118</v>
      </c>
      <c r="Q91">
        <v>980</v>
      </c>
      <c r="R91">
        <v>21</v>
      </c>
      <c r="S91" t="s">
        <v>111</v>
      </c>
      <c r="T91">
        <v>0</v>
      </c>
      <c r="U91" t="s">
        <v>102</v>
      </c>
      <c r="V91" t="s">
        <v>96</v>
      </c>
      <c r="W91">
        <v>7200</v>
      </c>
    </row>
    <row r="92" spans="1:23" x14ac:dyDescent="0.35">
      <c r="A92" t="s">
        <v>309</v>
      </c>
      <c r="B92" t="s">
        <v>135</v>
      </c>
      <c r="C92">
        <v>39</v>
      </c>
      <c r="D92" t="s">
        <v>11</v>
      </c>
      <c r="E92" t="s">
        <v>12</v>
      </c>
      <c r="F92" s="3" t="s">
        <v>136</v>
      </c>
      <c r="G92" t="s">
        <v>13</v>
      </c>
      <c r="H92" t="s">
        <v>15</v>
      </c>
      <c r="I92" t="s">
        <v>22</v>
      </c>
      <c r="J92" t="s">
        <v>91</v>
      </c>
      <c r="K92" t="s">
        <v>97</v>
      </c>
      <c r="L92" s="5">
        <v>45724</v>
      </c>
      <c r="M92" s="7">
        <v>0.47916666666666669</v>
      </c>
      <c r="N92" s="7">
        <v>0.56944444444444442</v>
      </c>
      <c r="O92" t="s">
        <v>137</v>
      </c>
      <c r="P92" t="s">
        <v>93</v>
      </c>
      <c r="Q92">
        <v>110</v>
      </c>
      <c r="R92">
        <v>8.6</v>
      </c>
      <c r="S92" t="s">
        <v>94</v>
      </c>
      <c r="T92">
        <v>0</v>
      </c>
      <c r="U92" t="s">
        <v>95</v>
      </c>
      <c r="V92" t="s">
        <v>103</v>
      </c>
      <c r="W92">
        <v>1500</v>
      </c>
    </row>
    <row r="93" spans="1:23" x14ac:dyDescent="0.35">
      <c r="A93" t="s">
        <v>310</v>
      </c>
      <c r="B93" t="s">
        <v>139</v>
      </c>
      <c r="C93">
        <v>26</v>
      </c>
      <c r="D93" t="s">
        <v>18</v>
      </c>
      <c r="E93" t="s">
        <v>19</v>
      </c>
      <c r="F93" t="s">
        <v>140</v>
      </c>
      <c r="G93" t="s">
        <v>13</v>
      </c>
      <c r="H93" t="s">
        <v>57</v>
      </c>
      <c r="I93" t="s">
        <v>39</v>
      </c>
      <c r="J93" t="s">
        <v>121</v>
      </c>
      <c r="K93" t="s">
        <v>113</v>
      </c>
      <c r="L93" s="5">
        <v>45724</v>
      </c>
      <c r="M93" s="7">
        <v>0.66666666666666663</v>
      </c>
      <c r="N93" s="7">
        <v>0.76736111111111116</v>
      </c>
      <c r="O93" t="s">
        <v>141</v>
      </c>
      <c r="P93" t="s">
        <v>93</v>
      </c>
      <c r="Q93">
        <v>140</v>
      </c>
      <c r="R93">
        <v>11.2</v>
      </c>
      <c r="S93" t="s">
        <v>101</v>
      </c>
      <c r="T93">
        <v>20</v>
      </c>
      <c r="U93" t="s">
        <v>95</v>
      </c>
      <c r="V93" t="s">
        <v>96</v>
      </c>
      <c r="W93">
        <v>2700</v>
      </c>
    </row>
    <row r="94" spans="1:23" x14ac:dyDescent="0.35">
      <c r="A94" t="s">
        <v>311</v>
      </c>
      <c r="B94" t="s">
        <v>143</v>
      </c>
      <c r="C94">
        <v>50</v>
      </c>
      <c r="D94" t="s">
        <v>11</v>
      </c>
      <c r="E94" t="s">
        <v>26</v>
      </c>
      <c r="F94" t="s">
        <v>144</v>
      </c>
      <c r="G94" t="s">
        <v>21</v>
      </c>
      <c r="H94" t="s">
        <v>14</v>
      </c>
      <c r="I94" t="s">
        <v>34</v>
      </c>
      <c r="J94" t="s">
        <v>90</v>
      </c>
      <c r="K94" t="s">
        <v>109</v>
      </c>
      <c r="L94" s="5">
        <v>45725</v>
      </c>
      <c r="M94" s="7">
        <v>0.88194444444444442</v>
      </c>
      <c r="N94" s="7">
        <v>0.2013888888888889</v>
      </c>
      <c r="O94" t="s">
        <v>145</v>
      </c>
      <c r="P94" t="s">
        <v>100</v>
      </c>
      <c r="Q94">
        <v>1450</v>
      </c>
      <c r="R94">
        <v>25.9</v>
      </c>
      <c r="S94" t="s">
        <v>94</v>
      </c>
      <c r="T94">
        <v>0</v>
      </c>
      <c r="U94" t="s">
        <v>107</v>
      </c>
      <c r="V94" t="s">
        <v>125</v>
      </c>
      <c r="W94">
        <v>11800</v>
      </c>
    </row>
    <row r="95" spans="1:23" x14ac:dyDescent="0.35">
      <c r="A95" t="s">
        <v>312</v>
      </c>
      <c r="B95" t="s">
        <v>222</v>
      </c>
      <c r="C95">
        <v>31</v>
      </c>
      <c r="D95" t="s">
        <v>18</v>
      </c>
      <c r="E95" t="s">
        <v>31</v>
      </c>
      <c r="F95" t="s">
        <v>148</v>
      </c>
      <c r="G95" t="s">
        <v>21</v>
      </c>
      <c r="H95" t="s">
        <v>15</v>
      </c>
      <c r="I95" t="s">
        <v>23</v>
      </c>
      <c r="J95" t="s">
        <v>91</v>
      </c>
      <c r="K95" t="s">
        <v>98</v>
      </c>
      <c r="L95" s="5">
        <v>45725</v>
      </c>
      <c r="M95" s="7">
        <v>0.18402777777777779</v>
      </c>
      <c r="N95" s="7">
        <v>0.33333333333333331</v>
      </c>
      <c r="O95" t="s">
        <v>149</v>
      </c>
      <c r="P95" t="s">
        <v>93</v>
      </c>
      <c r="Q95">
        <v>330</v>
      </c>
      <c r="R95">
        <v>13.5</v>
      </c>
      <c r="S95" t="s">
        <v>111</v>
      </c>
      <c r="T95">
        <v>0</v>
      </c>
      <c r="U95" t="s">
        <v>102</v>
      </c>
      <c r="V95" t="s">
        <v>112</v>
      </c>
      <c r="W95">
        <v>2100</v>
      </c>
    </row>
    <row r="96" spans="1:23" x14ac:dyDescent="0.35">
      <c r="A96" t="s">
        <v>313</v>
      </c>
      <c r="B96" t="s">
        <v>224</v>
      </c>
      <c r="C96">
        <v>44</v>
      </c>
      <c r="D96" t="s">
        <v>11</v>
      </c>
      <c r="E96" t="s">
        <v>12</v>
      </c>
      <c r="F96" s="3" t="s">
        <v>225</v>
      </c>
      <c r="G96" t="s">
        <v>13</v>
      </c>
      <c r="H96" t="s">
        <v>22</v>
      </c>
      <c r="I96" t="s">
        <v>57</v>
      </c>
      <c r="J96" t="s">
        <v>97</v>
      </c>
      <c r="K96" t="s">
        <v>121</v>
      </c>
      <c r="L96" s="5">
        <v>45726</v>
      </c>
      <c r="M96" s="7">
        <v>0.38194444444444442</v>
      </c>
      <c r="N96" s="7">
        <v>0.4861111111111111</v>
      </c>
      <c r="O96" t="s">
        <v>226</v>
      </c>
      <c r="P96" t="s">
        <v>93</v>
      </c>
      <c r="Q96">
        <v>125</v>
      </c>
      <c r="R96">
        <v>12</v>
      </c>
      <c r="S96" t="s">
        <v>94</v>
      </c>
      <c r="T96">
        <v>0</v>
      </c>
      <c r="U96" t="s">
        <v>95</v>
      </c>
      <c r="V96" t="s">
        <v>103</v>
      </c>
      <c r="W96">
        <v>2100</v>
      </c>
    </row>
    <row r="97" spans="1:23" x14ac:dyDescent="0.35">
      <c r="A97" t="s">
        <v>314</v>
      </c>
      <c r="B97" t="s">
        <v>30</v>
      </c>
      <c r="C97">
        <v>25</v>
      </c>
      <c r="D97" t="s">
        <v>18</v>
      </c>
      <c r="E97" t="s">
        <v>19</v>
      </c>
      <c r="F97" t="s">
        <v>20</v>
      </c>
      <c r="G97" t="s">
        <v>21</v>
      </c>
      <c r="H97" t="s">
        <v>15</v>
      </c>
      <c r="I97" t="s">
        <v>28</v>
      </c>
      <c r="J97" t="s">
        <v>91</v>
      </c>
      <c r="K97" t="s">
        <v>104</v>
      </c>
      <c r="L97" s="5">
        <v>45726</v>
      </c>
      <c r="M97" s="7">
        <v>5.2083333333333336E-2</v>
      </c>
      <c r="N97" s="7">
        <v>0.40972222222222221</v>
      </c>
      <c r="O97" t="s">
        <v>99</v>
      </c>
      <c r="P97" t="s">
        <v>100</v>
      </c>
      <c r="Q97">
        <v>860</v>
      </c>
      <c r="R97">
        <v>24</v>
      </c>
      <c r="S97" t="s">
        <v>101</v>
      </c>
      <c r="T97">
        <v>50</v>
      </c>
      <c r="U97" t="s">
        <v>102</v>
      </c>
      <c r="V97" t="s">
        <v>96</v>
      </c>
      <c r="W97">
        <v>8400</v>
      </c>
    </row>
    <row r="98" spans="1:23" x14ac:dyDescent="0.35">
      <c r="A98" t="s">
        <v>315</v>
      </c>
      <c r="B98" t="s">
        <v>36</v>
      </c>
      <c r="C98">
        <v>38</v>
      </c>
      <c r="D98" t="s">
        <v>11</v>
      </c>
      <c r="E98" t="s">
        <v>37</v>
      </c>
      <c r="F98" t="s">
        <v>38</v>
      </c>
      <c r="G98" t="s">
        <v>21</v>
      </c>
      <c r="H98" t="s">
        <v>39</v>
      </c>
      <c r="I98" t="s">
        <v>40</v>
      </c>
      <c r="J98" t="s">
        <v>113</v>
      </c>
      <c r="K98" t="s">
        <v>114</v>
      </c>
      <c r="L98" s="5">
        <v>45727</v>
      </c>
      <c r="M98" s="7">
        <v>0.91666666666666663</v>
      </c>
      <c r="N98" s="7">
        <v>0.57291666666666663</v>
      </c>
      <c r="O98" t="s">
        <v>115</v>
      </c>
      <c r="P98" t="s">
        <v>100</v>
      </c>
      <c r="Q98">
        <v>1980</v>
      </c>
      <c r="R98">
        <v>27.5</v>
      </c>
      <c r="S98" t="s">
        <v>94</v>
      </c>
      <c r="T98">
        <v>0</v>
      </c>
      <c r="U98" t="s">
        <v>102</v>
      </c>
      <c r="V98" t="s">
        <v>103</v>
      </c>
      <c r="W98">
        <v>9700</v>
      </c>
    </row>
    <row r="99" spans="1:23" x14ac:dyDescent="0.35">
      <c r="A99" t="s">
        <v>316</v>
      </c>
      <c r="B99" t="s">
        <v>42</v>
      </c>
      <c r="C99">
        <v>31</v>
      </c>
      <c r="D99" t="s">
        <v>18</v>
      </c>
      <c r="E99" t="s">
        <v>43</v>
      </c>
      <c r="F99" t="s">
        <v>44</v>
      </c>
      <c r="G99" t="s">
        <v>21</v>
      </c>
      <c r="H99" t="s">
        <v>15</v>
      </c>
      <c r="I99" t="s">
        <v>45</v>
      </c>
      <c r="J99" t="s">
        <v>91</v>
      </c>
      <c r="K99" t="s">
        <v>116</v>
      </c>
      <c r="L99" s="5">
        <v>45727</v>
      </c>
      <c r="M99" s="7">
        <v>0.15625</v>
      </c>
      <c r="N99" s="7">
        <v>0.47222222222222221</v>
      </c>
      <c r="O99" t="s">
        <v>117</v>
      </c>
      <c r="P99" t="s">
        <v>118</v>
      </c>
      <c r="Q99">
        <v>980</v>
      </c>
      <c r="R99">
        <v>19.3</v>
      </c>
      <c r="S99" t="s">
        <v>94</v>
      </c>
      <c r="T99">
        <v>0</v>
      </c>
      <c r="U99" t="s">
        <v>95</v>
      </c>
      <c r="V99" t="s">
        <v>96</v>
      </c>
      <c r="W99">
        <v>5400</v>
      </c>
    </row>
    <row r="100" spans="1:23" x14ac:dyDescent="0.35">
      <c r="A100" t="s">
        <v>317</v>
      </c>
      <c r="B100" t="s">
        <v>231</v>
      </c>
      <c r="C100">
        <v>35</v>
      </c>
      <c r="D100" t="s">
        <v>11</v>
      </c>
      <c r="E100" t="s">
        <v>26</v>
      </c>
      <c r="F100" t="s">
        <v>232</v>
      </c>
      <c r="G100" t="s">
        <v>21</v>
      </c>
      <c r="H100" t="s">
        <v>22</v>
      </c>
      <c r="I100" t="s">
        <v>28</v>
      </c>
      <c r="J100" t="s">
        <v>97</v>
      </c>
      <c r="K100" t="s">
        <v>104</v>
      </c>
      <c r="L100" s="5">
        <v>45728</v>
      </c>
      <c r="M100" s="7">
        <v>9.0277777777777776E-2</v>
      </c>
      <c r="N100" s="7">
        <v>0.36805555555555558</v>
      </c>
      <c r="O100" t="s">
        <v>119</v>
      </c>
      <c r="P100" t="s">
        <v>100</v>
      </c>
      <c r="Q100">
        <v>1800</v>
      </c>
      <c r="R100">
        <v>26.5</v>
      </c>
      <c r="S100" t="s">
        <v>94</v>
      </c>
      <c r="T100">
        <v>0</v>
      </c>
      <c r="U100" t="s">
        <v>107</v>
      </c>
      <c r="V100" t="s">
        <v>103</v>
      </c>
      <c r="W100">
        <v>12000</v>
      </c>
    </row>
    <row r="101" spans="1:23" x14ac:dyDescent="0.35">
      <c r="A101" t="s">
        <v>318</v>
      </c>
      <c r="B101" t="s">
        <v>234</v>
      </c>
      <c r="C101">
        <v>28</v>
      </c>
      <c r="D101" t="s">
        <v>18</v>
      </c>
      <c r="E101" t="s">
        <v>12</v>
      </c>
      <c r="F101" s="3" t="s">
        <v>235</v>
      </c>
      <c r="G101" t="s">
        <v>13</v>
      </c>
      <c r="H101" t="s">
        <v>14</v>
      </c>
      <c r="I101" t="s">
        <v>15</v>
      </c>
      <c r="J101" t="s">
        <v>90</v>
      </c>
      <c r="K101" t="s">
        <v>91</v>
      </c>
      <c r="L101" s="5">
        <v>45728</v>
      </c>
      <c r="M101" s="7">
        <v>0.28125</v>
      </c>
      <c r="N101" s="7">
        <v>0.3888888888888889</v>
      </c>
      <c r="O101" t="s">
        <v>236</v>
      </c>
      <c r="P101" t="s">
        <v>93</v>
      </c>
      <c r="Q101">
        <v>150</v>
      </c>
      <c r="R101">
        <v>11.2</v>
      </c>
      <c r="S101" t="s">
        <v>101</v>
      </c>
      <c r="T101">
        <v>30</v>
      </c>
      <c r="U101" t="s">
        <v>102</v>
      </c>
      <c r="V101" t="s">
        <v>96</v>
      </c>
      <c r="W101">
        <v>3200</v>
      </c>
    </row>
    <row r="102" spans="1:23" x14ac:dyDescent="0.35">
      <c r="A102" t="s">
        <v>319</v>
      </c>
      <c r="B102" t="s">
        <v>25</v>
      </c>
      <c r="C102">
        <v>41</v>
      </c>
      <c r="D102" t="s">
        <v>11</v>
      </c>
      <c r="E102" t="s">
        <v>26</v>
      </c>
      <c r="F102" t="s">
        <v>27</v>
      </c>
      <c r="G102" t="s">
        <v>21</v>
      </c>
      <c r="H102" t="s">
        <v>15</v>
      </c>
      <c r="I102" t="s">
        <v>28</v>
      </c>
      <c r="J102" t="s">
        <v>91</v>
      </c>
      <c r="K102" t="s">
        <v>104</v>
      </c>
      <c r="L102" s="5">
        <v>45729</v>
      </c>
      <c r="M102" s="7">
        <v>5.5555555555555552E-2</v>
      </c>
      <c r="N102" s="7">
        <v>0.41319444444444442</v>
      </c>
      <c r="O102" t="s">
        <v>105</v>
      </c>
      <c r="P102" t="s">
        <v>106</v>
      </c>
      <c r="Q102">
        <v>2450</v>
      </c>
      <c r="R102">
        <v>30.2</v>
      </c>
      <c r="S102" t="s">
        <v>94</v>
      </c>
      <c r="T102">
        <v>0</v>
      </c>
      <c r="U102" t="s">
        <v>107</v>
      </c>
      <c r="V102" t="s">
        <v>103</v>
      </c>
      <c r="W102">
        <v>13200</v>
      </c>
    </row>
    <row r="103" spans="1:23" x14ac:dyDescent="0.35">
      <c r="A103" t="s">
        <v>320</v>
      </c>
      <c r="B103" t="s">
        <v>30</v>
      </c>
      <c r="C103">
        <v>25</v>
      </c>
      <c r="D103" t="s">
        <v>18</v>
      </c>
      <c r="E103" t="s">
        <v>31</v>
      </c>
      <c r="F103" t="s">
        <v>32</v>
      </c>
      <c r="G103" t="s">
        <v>21</v>
      </c>
      <c r="H103" t="s">
        <v>33</v>
      </c>
      <c r="I103" t="s">
        <v>34</v>
      </c>
      <c r="J103" t="s">
        <v>108</v>
      </c>
      <c r="K103" t="s">
        <v>109</v>
      </c>
      <c r="L103" s="5">
        <v>45729</v>
      </c>
      <c r="M103" s="7">
        <v>0.34027777777777779</v>
      </c>
      <c r="N103" s="7">
        <v>0.58333333333333337</v>
      </c>
      <c r="O103" t="s">
        <v>110</v>
      </c>
      <c r="P103" t="s">
        <v>93</v>
      </c>
      <c r="Q103">
        <v>420</v>
      </c>
      <c r="R103">
        <v>15.6</v>
      </c>
      <c r="S103" t="s">
        <v>111</v>
      </c>
      <c r="T103">
        <v>0</v>
      </c>
      <c r="U103" t="s">
        <v>95</v>
      </c>
      <c r="V103" t="s">
        <v>112</v>
      </c>
      <c r="W103">
        <v>3500</v>
      </c>
    </row>
    <row r="104" spans="1:23" x14ac:dyDescent="0.35">
      <c r="A104" t="s">
        <v>321</v>
      </c>
      <c r="B104" t="s">
        <v>36</v>
      </c>
      <c r="C104">
        <v>38</v>
      </c>
      <c r="D104" t="s">
        <v>11</v>
      </c>
      <c r="E104" t="s">
        <v>37</v>
      </c>
      <c r="F104" t="s">
        <v>38</v>
      </c>
      <c r="G104" t="s">
        <v>21</v>
      </c>
      <c r="H104" t="s">
        <v>39</v>
      </c>
      <c r="I104" t="s">
        <v>40</v>
      </c>
      <c r="J104" t="s">
        <v>113</v>
      </c>
      <c r="K104" t="s">
        <v>114</v>
      </c>
      <c r="L104" s="5">
        <v>45730</v>
      </c>
      <c r="M104" s="7">
        <v>0.91666666666666663</v>
      </c>
      <c r="N104" s="7">
        <v>0.57291666666666663</v>
      </c>
      <c r="O104" t="s">
        <v>115</v>
      </c>
      <c r="P104" t="s">
        <v>100</v>
      </c>
      <c r="Q104">
        <v>1980</v>
      </c>
      <c r="R104">
        <v>27.5</v>
      </c>
      <c r="S104" t="s">
        <v>94</v>
      </c>
      <c r="T104">
        <v>0</v>
      </c>
      <c r="U104" t="s">
        <v>102</v>
      </c>
      <c r="V104" t="s">
        <v>103</v>
      </c>
      <c r="W104">
        <v>9700</v>
      </c>
    </row>
    <row r="105" spans="1:23" x14ac:dyDescent="0.35">
      <c r="A105" t="s">
        <v>322</v>
      </c>
      <c r="B105" t="s">
        <v>42</v>
      </c>
      <c r="C105">
        <v>31</v>
      </c>
      <c r="D105" t="s">
        <v>18</v>
      </c>
      <c r="E105" t="s">
        <v>43</v>
      </c>
      <c r="F105" t="s">
        <v>44</v>
      </c>
      <c r="G105" t="s">
        <v>21</v>
      </c>
      <c r="H105" t="s">
        <v>15</v>
      </c>
      <c r="I105" t="s">
        <v>45</v>
      </c>
      <c r="J105" t="s">
        <v>91</v>
      </c>
      <c r="K105" t="s">
        <v>116</v>
      </c>
      <c r="L105" s="5">
        <v>45730</v>
      </c>
      <c r="M105" s="7">
        <v>0.15625</v>
      </c>
      <c r="N105" s="7">
        <v>0.47222222222222221</v>
      </c>
      <c r="O105" t="s">
        <v>117</v>
      </c>
      <c r="P105" t="s">
        <v>118</v>
      </c>
      <c r="Q105">
        <v>980</v>
      </c>
      <c r="R105">
        <v>19.3</v>
      </c>
      <c r="S105" t="s">
        <v>101</v>
      </c>
      <c r="T105">
        <v>35</v>
      </c>
      <c r="U105" t="s">
        <v>95</v>
      </c>
      <c r="V105" t="s">
        <v>96</v>
      </c>
      <c r="W105">
        <v>5400</v>
      </c>
    </row>
    <row r="106" spans="1:23" x14ac:dyDescent="0.35">
      <c r="A106" t="s">
        <v>323</v>
      </c>
      <c r="B106" t="s">
        <v>47</v>
      </c>
      <c r="C106">
        <v>45</v>
      </c>
      <c r="D106" t="s">
        <v>11</v>
      </c>
      <c r="E106" t="s">
        <v>48</v>
      </c>
      <c r="F106" t="s">
        <v>49</v>
      </c>
      <c r="G106" t="s">
        <v>21</v>
      </c>
      <c r="H106" t="s">
        <v>14</v>
      </c>
      <c r="I106" t="s">
        <v>28</v>
      </c>
      <c r="J106" t="s">
        <v>90</v>
      </c>
      <c r="K106" t="s">
        <v>104</v>
      </c>
      <c r="L106" s="5">
        <v>45731</v>
      </c>
      <c r="M106" s="7">
        <v>0.42708333333333331</v>
      </c>
      <c r="N106" s="7">
        <v>0.77083333333333337</v>
      </c>
      <c r="O106" t="s">
        <v>119</v>
      </c>
      <c r="P106" t="s">
        <v>100</v>
      </c>
      <c r="Q106">
        <v>1650</v>
      </c>
      <c r="R106">
        <v>26.8</v>
      </c>
      <c r="S106" t="s">
        <v>94</v>
      </c>
      <c r="T106">
        <v>0</v>
      </c>
      <c r="U106" t="s">
        <v>107</v>
      </c>
      <c r="V106" t="s">
        <v>103</v>
      </c>
      <c r="W106">
        <v>11000</v>
      </c>
    </row>
    <row r="107" spans="1:23" x14ac:dyDescent="0.35">
      <c r="A107" t="s">
        <v>324</v>
      </c>
      <c r="B107" t="s">
        <v>51</v>
      </c>
      <c r="C107">
        <v>27</v>
      </c>
      <c r="D107" t="s">
        <v>18</v>
      </c>
      <c r="E107" t="s">
        <v>52</v>
      </c>
      <c r="F107" t="s">
        <v>53</v>
      </c>
      <c r="G107" t="s">
        <v>21</v>
      </c>
      <c r="H107" t="s">
        <v>22</v>
      </c>
      <c r="I107" t="s">
        <v>40</v>
      </c>
      <c r="J107" t="s">
        <v>97</v>
      </c>
      <c r="K107" t="s">
        <v>114</v>
      </c>
      <c r="L107" s="5">
        <v>45731</v>
      </c>
      <c r="M107" s="7">
        <v>0.24305555555555555</v>
      </c>
      <c r="N107" s="7">
        <v>0.72222222222222221</v>
      </c>
      <c r="O107" t="s">
        <v>120</v>
      </c>
      <c r="P107" t="s">
        <v>93</v>
      </c>
      <c r="Q107">
        <v>740</v>
      </c>
      <c r="R107">
        <v>17.2</v>
      </c>
      <c r="S107" t="s">
        <v>111</v>
      </c>
      <c r="T107">
        <v>0</v>
      </c>
      <c r="U107" t="s">
        <v>95</v>
      </c>
      <c r="V107" t="s">
        <v>96</v>
      </c>
      <c r="W107">
        <v>4100</v>
      </c>
    </row>
    <row r="108" spans="1:23" x14ac:dyDescent="0.35">
      <c r="A108" t="s">
        <v>325</v>
      </c>
      <c r="B108" t="s">
        <v>55</v>
      </c>
      <c r="C108">
        <v>36</v>
      </c>
      <c r="D108" t="s">
        <v>11</v>
      </c>
      <c r="E108" t="s">
        <v>12</v>
      </c>
      <c r="F108" s="3" t="s">
        <v>56</v>
      </c>
      <c r="G108" t="s">
        <v>13</v>
      </c>
      <c r="H108" t="s">
        <v>57</v>
      </c>
      <c r="I108" t="s">
        <v>33</v>
      </c>
      <c r="J108" t="s">
        <v>121</v>
      </c>
      <c r="K108" t="s">
        <v>108</v>
      </c>
      <c r="L108" s="5">
        <v>45732</v>
      </c>
      <c r="M108" s="7">
        <v>0.60069444444444442</v>
      </c>
      <c r="N108" s="7">
        <v>0.71527777777777779</v>
      </c>
      <c r="O108" t="s">
        <v>122</v>
      </c>
      <c r="P108" t="s">
        <v>93</v>
      </c>
      <c r="Q108">
        <v>125</v>
      </c>
      <c r="R108">
        <v>12</v>
      </c>
      <c r="S108" t="s">
        <v>94</v>
      </c>
      <c r="T108">
        <v>0</v>
      </c>
      <c r="U108" t="s">
        <v>102</v>
      </c>
      <c r="V108" t="s">
        <v>103</v>
      </c>
      <c r="W108">
        <v>1800</v>
      </c>
    </row>
    <row r="109" spans="1:23" x14ac:dyDescent="0.35">
      <c r="A109" t="s">
        <v>326</v>
      </c>
      <c r="B109" t="s">
        <v>59</v>
      </c>
      <c r="C109">
        <v>30</v>
      </c>
      <c r="D109" t="s">
        <v>18</v>
      </c>
      <c r="E109" t="s">
        <v>19</v>
      </c>
      <c r="F109" t="s">
        <v>60</v>
      </c>
      <c r="G109" t="s">
        <v>13</v>
      </c>
      <c r="H109" t="s">
        <v>15</v>
      </c>
      <c r="I109" t="s">
        <v>14</v>
      </c>
      <c r="J109" t="s">
        <v>91</v>
      </c>
      <c r="K109" t="s">
        <v>90</v>
      </c>
      <c r="L109" s="5">
        <v>45732</v>
      </c>
      <c r="M109" s="7">
        <v>0.40277777777777779</v>
      </c>
      <c r="N109" s="7">
        <v>0.51736111111111116</v>
      </c>
      <c r="O109" t="s">
        <v>123</v>
      </c>
      <c r="P109" t="s">
        <v>118</v>
      </c>
      <c r="Q109">
        <v>310</v>
      </c>
      <c r="R109">
        <v>20.5</v>
      </c>
      <c r="S109" t="s">
        <v>101</v>
      </c>
      <c r="T109">
        <v>35</v>
      </c>
      <c r="U109" t="s">
        <v>95</v>
      </c>
      <c r="V109" t="s">
        <v>96</v>
      </c>
      <c r="W109">
        <v>6200</v>
      </c>
    </row>
    <row r="110" spans="1:23" x14ac:dyDescent="0.35">
      <c r="A110" t="s">
        <v>327</v>
      </c>
      <c r="B110" t="s">
        <v>62</v>
      </c>
      <c r="C110">
        <v>52</v>
      </c>
      <c r="D110" t="s">
        <v>11</v>
      </c>
      <c r="E110" t="s">
        <v>26</v>
      </c>
      <c r="F110" t="s">
        <v>63</v>
      </c>
      <c r="G110" t="s">
        <v>21</v>
      </c>
      <c r="H110" t="s">
        <v>22</v>
      </c>
      <c r="I110" t="s">
        <v>23</v>
      </c>
      <c r="J110" t="s">
        <v>97</v>
      </c>
      <c r="K110" t="s">
        <v>98</v>
      </c>
      <c r="L110" s="5">
        <v>45733</v>
      </c>
      <c r="M110" s="7">
        <v>0.96875</v>
      </c>
      <c r="N110" s="7">
        <v>0.12152777777777778</v>
      </c>
      <c r="O110" t="s">
        <v>124</v>
      </c>
      <c r="P110" t="s">
        <v>100</v>
      </c>
      <c r="Q110">
        <v>1200</v>
      </c>
      <c r="R110">
        <v>28</v>
      </c>
      <c r="S110" t="s">
        <v>94</v>
      </c>
      <c r="T110">
        <v>0</v>
      </c>
      <c r="U110" t="s">
        <v>107</v>
      </c>
      <c r="V110" t="s">
        <v>125</v>
      </c>
      <c r="W110">
        <v>14000</v>
      </c>
    </row>
    <row r="111" spans="1:23" x14ac:dyDescent="0.35">
      <c r="A111" t="s">
        <v>328</v>
      </c>
      <c r="B111" t="s">
        <v>65</v>
      </c>
      <c r="C111">
        <v>24</v>
      </c>
      <c r="D111" t="s">
        <v>18</v>
      </c>
      <c r="E111" t="s">
        <v>12</v>
      </c>
      <c r="F111" s="3" t="s">
        <v>66</v>
      </c>
      <c r="G111" t="s">
        <v>13</v>
      </c>
      <c r="H111" t="s">
        <v>39</v>
      </c>
      <c r="I111" t="s">
        <v>15</v>
      </c>
      <c r="J111" t="s">
        <v>113</v>
      </c>
      <c r="K111" t="s">
        <v>91</v>
      </c>
      <c r="L111" s="5">
        <v>45733</v>
      </c>
      <c r="M111" s="7">
        <v>0.25694444444444442</v>
      </c>
      <c r="N111" s="7">
        <v>0.3611111111111111</v>
      </c>
      <c r="O111" t="s">
        <v>126</v>
      </c>
      <c r="P111" t="s">
        <v>93</v>
      </c>
      <c r="Q111">
        <v>160</v>
      </c>
      <c r="R111">
        <v>10.4</v>
      </c>
      <c r="S111" t="s">
        <v>111</v>
      </c>
      <c r="T111">
        <v>0</v>
      </c>
      <c r="U111" t="s">
        <v>102</v>
      </c>
      <c r="V111" t="s">
        <v>112</v>
      </c>
      <c r="W111">
        <v>900</v>
      </c>
    </row>
    <row r="112" spans="1:23" x14ac:dyDescent="0.35">
      <c r="A112" t="s">
        <v>329</v>
      </c>
      <c r="B112" t="s">
        <v>68</v>
      </c>
      <c r="C112">
        <v>40</v>
      </c>
      <c r="D112" t="s">
        <v>11</v>
      </c>
      <c r="E112" t="s">
        <v>37</v>
      </c>
      <c r="F112" t="s">
        <v>69</v>
      </c>
      <c r="G112" t="s">
        <v>21</v>
      </c>
      <c r="H112" t="s">
        <v>33</v>
      </c>
      <c r="I112" t="s">
        <v>34</v>
      </c>
      <c r="J112" t="s">
        <v>108</v>
      </c>
      <c r="K112" t="s">
        <v>109</v>
      </c>
      <c r="L112" s="5">
        <v>45734</v>
      </c>
      <c r="M112" s="7">
        <v>0.84722222222222221</v>
      </c>
      <c r="N112" s="7">
        <v>9.0277777777777776E-2</v>
      </c>
      <c r="O112" t="s">
        <v>127</v>
      </c>
      <c r="P112" t="s">
        <v>100</v>
      </c>
      <c r="Q112">
        <v>1340</v>
      </c>
      <c r="R112">
        <v>22.6</v>
      </c>
      <c r="S112" t="s">
        <v>94</v>
      </c>
      <c r="T112">
        <v>0</v>
      </c>
      <c r="U112" t="s">
        <v>95</v>
      </c>
      <c r="V112" t="s">
        <v>103</v>
      </c>
      <c r="W112">
        <v>8700</v>
      </c>
    </row>
    <row r="113" spans="1:23" x14ac:dyDescent="0.35">
      <c r="A113" t="s">
        <v>330</v>
      </c>
      <c r="B113" t="s">
        <v>71</v>
      </c>
      <c r="C113">
        <v>33</v>
      </c>
      <c r="D113" t="s">
        <v>18</v>
      </c>
      <c r="E113" t="s">
        <v>43</v>
      </c>
      <c r="F113" t="s">
        <v>72</v>
      </c>
      <c r="G113" t="s">
        <v>21</v>
      </c>
      <c r="H113" t="s">
        <v>15</v>
      </c>
      <c r="I113" t="s">
        <v>40</v>
      </c>
      <c r="J113" t="s">
        <v>91</v>
      </c>
      <c r="K113" t="s">
        <v>114</v>
      </c>
      <c r="L113" s="5">
        <v>45734</v>
      </c>
      <c r="M113" s="7">
        <v>0.11805555555555555</v>
      </c>
      <c r="N113" s="7">
        <v>0.64583333333333337</v>
      </c>
      <c r="O113" t="s">
        <v>128</v>
      </c>
      <c r="P113" t="s">
        <v>106</v>
      </c>
      <c r="Q113">
        <v>2600</v>
      </c>
      <c r="R113">
        <v>31.4</v>
      </c>
      <c r="S113" t="s">
        <v>101</v>
      </c>
      <c r="T113">
        <v>90</v>
      </c>
      <c r="U113" t="s">
        <v>107</v>
      </c>
      <c r="V113" t="s">
        <v>96</v>
      </c>
      <c r="W113">
        <v>15000</v>
      </c>
    </row>
    <row r="114" spans="1:23" x14ac:dyDescent="0.35">
      <c r="A114" t="s">
        <v>331</v>
      </c>
      <c r="B114" t="s">
        <v>74</v>
      </c>
      <c r="C114">
        <v>47</v>
      </c>
      <c r="D114" t="s">
        <v>11</v>
      </c>
      <c r="E114" t="s">
        <v>19</v>
      </c>
      <c r="F114" t="s">
        <v>75</v>
      </c>
      <c r="G114" t="s">
        <v>21</v>
      </c>
      <c r="H114" t="s">
        <v>14</v>
      </c>
      <c r="I114" t="s">
        <v>23</v>
      </c>
      <c r="J114" t="s">
        <v>90</v>
      </c>
      <c r="K114" t="s">
        <v>98</v>
      </c>
      <c r="L114" s="5">
        <v>45735</v>
      </c>
      <c r="M114" s="7">
        <v>0.54513888888888884</v>
      </c>
      <c r="N114" s="7">
        <v>0.71875</v>
      </c>
      <c r="O114" t="s">
        <v>129</v>
      </c>
      <c r="P114" t="s">
        <v>93</v>
      </c>
      <c r="Q114">
        <v>390</v>
      </c>
      <c r="R114">
        <v>16.100000000000001</v>
      </c>
      <c r="S114" t="s">
        <v>94</v>
      </c>
      <c r="T114">
        <v>0</v>
      </c>
      <c r="U114" t="s">
        <v>95</v>
      </c>
      <c r="V114" t="s">
        <v>103</v>
      </c>
      <c r="W114">
        <v>3000</v>
      </c>
    </row>
    <row r="115" spans="1:23" x14ac:dyDescent="0.35">
      <c r="A115" t="s">
        <v>332</v>
      </c>
      <c r="B115" t="s">
        <v>131</v>
      </c>
      <c r="C115">
        <v>28</v>
      </c>
      <c r="D115" t="s">
        <v>18</v>
      </c>
      <c r="E115" t="s">
        <v>52</v>
      </c>
      <c r="F115" t="s">
        <v>132</v>
      </c>
      <c r="G115" t="s">
        <v>21</v>
      </c>
      <c r="H115" t="s">
        <v>33</v>
      </c>
      <c r="I115" t="s">
        <v>28</v>
      </c>
      <c r="J115" t="s">
        <v>108</v>
      </c>
      <c r="K115" t="s">
        <v>104</v>
      </c>
      <c r="L115" s="5">
        <v>45735</v>
      </c>
      <c r="M115" s="7">
        <v>0.32291666666666669</v>
      </c>
      <c r="N115" s="7">
        <v>0.75694444444444442</v>
      </c>
      <c r="O115" t="s">
        <v>133</v>
      </c>
      <c r="P115" t="s">
        <v>118</v>
      </c>
      <c r="Q115">
        <v>980</v>
      </c>
      <c r="R115">
        <v>21</v>
      </c>
      <c r="S115" t="s">
        <v>111</v>
      </c>
      <c r="T115">
        <v>0</v>
      </c>
      <c r="U115" t="s">
        <v>102</v>
      </c>
      <c r="V115" t="s">
        <v>96</v>
      </c>
      <c r="W115">
        <v>7200</v>
      </c>
    </row>
    <row r="116" spans="1:23" x14ac:dyDescent="0.35">
      <c r="A116" t="s">
        <v>333</v>
      </c>
      <c r="B116" t="s">
        <v>135</v>
      </c>
      <c r="C116">
        <v>39</v>
      </c>
      <c r="D116" t="s">
        <v>11</v>
      </c>
      <c r="E116" t="s">
        <v>12</v>
      </c>
      <c r="F116" s="3" t="s">
        <v>136</v>
      </c>
      <c r="G116" t="s">
        <v>13</v>
      </c>
      <c r="H116" t="s">
        <v>15</v>
      </c>
      <c r="I116" t="s">
        <v>22</v>
      </c>
      <c r="J116" t="s">
        <v>91</v>
      </c>
      <c r="K116" t="s">
        <v>97</v>
      </c>
      <c r="L116" s="5">
        <v>45736</v>
      </c>
      <c r="M116" s="7">
        <v>0.47916666666666669</v>
      </c>
      <c r="N116" s="7">
        <v>0.56944444444444442</v>
      </c>
      <c r="O116" t="s">
        <v>137</v>
      </c>
      <c r="P116" t="s">
        <v>93</v>
      </c>
      <c r="Q116">
        <v>110</v>
      </c>
      <c r="R116">
        <v>8.6</v>
      </c>
      <c r="S116" t="s">
        <v>94</v>
      </c>
      <c r="T116">
        <v>0</v>
      </c>
      <c r="U116" t="s">
        <v>95</v>
      </c>
      <c r="V116" t="s">
        <v>103</v>
      </c>
      <c r="W116">
        <v>1500</v>
      </c>
    </row>
    <row r="117" spans="1:23" x14ac:dyDescent="0.35">
      <c r="A117" t="s">
        <v>334</v>
      </c>
      <c r="B117" t="s">
        <v>139</v>
      </c>
      <c r="C117">
        <v>26</v>
      </c>
      <c r="D117" t="s">
        <v>18</v>
      </c>
      <c r="E117" t="s">
        <v>19</v>
      </c>
      <c r="F117" t="s">
        <v>140</v>
      </c>
      <c r="G117" t="s">
        <v>13</v>
      </c>
      <c r="H117" t="s">
        <v>57</v>
      </c>
      <c r="I117" t="s">
        <v>39</v>
      </c>
      <c r="J117" t="s">
        <v>121</v>
      </c>
      <c r="K117" t="s">
        <v>113</v>
      </c>
      <c r="L117" s="5">
        <v>45736</v>
      </c>
      <c r="M117" s="7">
        <v>0.66666666666666663</v>
      </c>
      <c r="N117" s="7">
        <v>0.76736111111111116</v>
      </c>
      <c r="O117" t="s">
        <v>141</v>
      </c>
      <c r="P117" t="s">
        <v>93</v>
      </c>
      <c r="Q117">
        <v>140</v>
      </c>
      <c r="R117">
        <v>11.2</v>
      </c>
      <c r="S117" t="s">
        <v>101</v>
      </c>
      <c r="T117">
        <v>20</v>
      </c>
      <c r="U117" t="s">
        <v>95</v>
      </c>
      <c r="V117" t="s">
        <v>96</v>
      </c>
      <c r="W117">
        <v>2700</v>
      </c>
    </row>
    <row r="118" spans="1:23" x14ac:dyDescent="0.35">
      <c r="A118" t="s">
        <v>335</v>
      </c>
      <c r="B118" t="s">
        <v>143</v>
      </c>
      <c r="C118">
        <v>50</v>
      </c>
      <c r="D118" t="s">
        <v>11</v>
      </c>
      <c r="E118" t="s">
        <v>26</v>
      </c>
      <c r="F118" t="s">
        <v>144</v>
      </c>
      <c r="G118" t="s">
        <v>21</v>
      </c>
      <c r="H118" t="s">
        <v>14</v>
      </c>
      <c r="I118" t="s">
        <v>34</v>
      </c>
      <c r="J118" t="s">
        <v>90</v>
      </c>
      <c r="K118" t="s">
        <v>109</v>
      </c>
      <c r="L118" s="5">
        <v>45737</v>
      </c>
      <c r="M118" s="7">
        <v>0.88194444444444442</v>
      </c>
      <c r="N118" s="7">
        <v>0.2013888888888889</v>
      </c>
      <c r="O118" t="s">
        <v>145</v>
      </c>
      <c r="P118" t="s">
        <v>100</v>
      </c>
      <c r="Q118">
        <v>1450</v>
      </c>
      <c r="R118">
        <v>25.9</v>
      </c>
      <c r="S118" t="s">
        <v>94</v>
      </c>
      <c r="T118">
        <v>0</v>
      </c>
      <c r="U118" t="s">
        <v>107</v>
      </c>
      <c r="V118" t="s">
        <v>125</v>
      </c>
      <c r="W118">
        <v>11800</v>
      </c>
    </row>
    <row r="119" spans="1:23" x14ac:dyDescent="0.35">
      <c r="A119" t="s">
        <v>336</v>
      </c>
      <c r="B119" t="s">
        <v>222</v>
      </c>
      <c r="C119">
        <v>31</v>
      </c>
      <c r="D119" t="s">
        <v>18</v>
      </c>
      <c r="E119" t="s">
        <v>31</v>
      </c>
      <c r="F119" t="s">
        <v>148</v>
      </c>
      <c r="G119" t="s">
        <v>21</v>
      </c>
      <c r="H119" t="s">
        <v>15</v>
      </c>
      <c r="I119" t="s">
        <v>23</v>
      </c>
      <c r="J119" t="s">
        <v>91</v>
      </c>
      <c r="K119" t="s">
        <v>98</v>
      </c>
      <c r="L119" s="5">
        <v>45737</v>
      </c>
      <c r="M119" s="7">
        <v>0.18402777777777779</v>
      </c>
      <c r="N119" s="7">
        <v>0.33333333333333331</v>
      </c>
      <c r="O119" t="s">
        <v>149</v>
      </c>
      <c r="P119" t="s">
        <v>93</v>
      </c>
      <c r="Q119">
        <v>330</v>
      </c>
      <c r="R119">
        <v>13.5</v>
      </c>
      <c r="S119" t="s">
        <v>111</v>
      </c>
      <c r="T119">
        <v>0</v>
      </c>
      <c r="U119" t="s">
        <v>102</v>
      </c>
      <c r="V119" t="s">
        <v>112</v>
      </c>
      <c r="W119">
        <v>2100</v>
      </c>
    </row>
    <row r="120" spans="1:23" x14ac:dyDescent="0.35">
      <c r="A120" t="s">
        <v>337</v>
      </c>
      <c r="B120" t="s">
        <v>224</v>
      </c>
      <c r="C120">
        <v>44</v>
      </c>
      <c r="D120" t="s">
        <v>11</v>
      </c>
      <c r="E120" t="s">
        <v>12</v>
      </c>
      <c r="F120" s="3" t="s">
        <v>225</v>
      </c>
      <c r="G120" t="s">
        <v>13</v>
      </c>
      <c r="H120" t="s">
        <v>22</v>
      </c>
      <c r="I120" t="s">
        <v>57</v>
      </c>
      <c r="J120" t="s">
        <v>97</v>
      </c>
      <c r="K120" t="s">
        <v>121</v>
      </c>
      <c r="L120" s="5">
        <v>45738</v>
      </c>
      <c r="M120" s="7">
        <v>0.38194444444444442</v>
      </c>
      <c r="N120" s="7">
        <v>0.4861111111111111</v>
      </c>
      <c r="O120" t="s">
        <v>226</v>
      </c>
      <c r="P120" t="s">
        <v>93</v>
      </c>
      <c r="Q120">
        <v>125</v>
      </c>
      <c r="R120">
        <v>12</v>
      </c>
      <c r="S120" t="s">
        <v>94</v>
      </c>
      <c r="T120">
        <v>0</v>
      </c>
      <c r="U120" t="s">
        <v>95</v>
      </c>
      <c r="V120" t="s">
        <v>103</v>
      </c>
      <c r="W120">
        <v>2100</v>
      </c>
    </row>
    <row r="121" spans="1:23" x14ac:dyDescent="0.35">
      <c r="A121" t="s">
        <v>338</v>
      </c>
      <c r="B121" t="s">
        <v>30</v>
      </c>
      <c r="C121">
        <v>25</v>
      </c>
      <c r="D121" t="s">
        <v>18</v>
      </c>
      <c r="E121" t="s">
        <v>19</v>
      </c>
      <c r="F121" t="s">
        <v>20</v>
      </c>
      <c r="G121" t="s">
        <v>21</v>
      </c>
      <c r="H121" t="s">
        <v>15</v>
      </c>
      <c r="I121" t="s">
        <v>28</v>
      </c>
      <c r="J121" t="s">
        <v>91</v>
      </c>
      <c r="K121" t="s">
        <v>104</v>
      </c>
      <c r="L121" s="5">
        <v>45738</v>
      </c>
      <c r="M121" s="7">
        <v>5.2083333333333336E-2</v>
      </c>
      <c r="N121" s="7">
        <v>0.40972222222222221</v>
      </c>
      <c r="O121" t="s">
        <v>99</v>
      </c>
      <c r="P121" t="s">
        <v>100</v>
      </c>
      <c r="Q121">
        <v>860</v>
      </c>
      <c r="R121">
        <v>24</v>
      </c>
      <c r="S121" t="s">
        <v>101</v>
      </c>
      <c r="T121">
        <v>50</v>
      </c>
      <c r="U121" t="s">
        <v>102</v>
      </c>
      <c r="V121" t="s">
        <v>96</v>
      </c>
      <c r="W121">
        <v>8400</v>
      </c>
    </row>
    <row r="122" spans="1:23" x14ac:dyDescent="0.35">
      <c r="A122" t="s">
        <v>339</v>
      </c>
      <c r="B122" t="s">
        <v>197</v>
      </c>
      <c r="C122">
        <v>38</v>
      </c>
      <c r="D122" t="s">
        <v>11</v>
      </c>
      <c r="E122" t="s">
        <v>37</v>
      </c>
      <c r="F122" t="s">
        <v>38</v>
      </c>
      <c r="G122" t="s">
        <v>21</v>
      </c>
      <c r="H122" t="s">
        <v>39</v>
      </c>
      <c r="I122" t="s">
        <v>40</v>
      </c>
      <c r="J122" t="s">
        <v>113</v>
      </c>
      <c r="K122" t="s">
        <v>114</v>
      </c>
      <c r="L122" s="5">
        <v>45739</v>
      </c>
      <c r="M122" s="7">
        <v>0.91666666666666663</v>
      </c>
      <c r="N122" s="7">
        <v>0.57291666666666663</v>
      </c>
      <c r="O122" t="s">
        <v>115</v>
      </c>
      <c r="P122" t="s">
        <v>100</v>
      </c>
      <c r="Q122">
        <v>1980</v>
      </c>
      <c r="R122">
        <v>27.5</v>
      </c>
      <c r="S122" t="s">
        <v>94</v>
      </c>
      <c r="T122">
        <v>0</v>
      </c>
      <c r="U122" t="s">
        <v>102</v>
      </c>
      <c r="V122" t="s">
        <v>103</v>
      </c>
      <c r="W122">
        <v>9700</v>
      </c>
    </row>
    <row r="123" spans="1:23" x14ac:dyDescent="0.35">
      <c r="A123" t="s">
        <v>340</v>
      </c>
      <c r="B123" t="s">
        <v>42</v>
      </c>
      <c r="C123">
        <v>31</v>
      </c>
      <c r="D123" t="s">
        <v>18</v>
      </c>
      <c r="E123" t="s">
        <v>43</v>
      </c>
      <c r="F123" t="s">
        <v>44</v>
      </c>
      <c r="G123" t="s">
        <v>21</v>
      </c>
      <c r="H123" t="s">
        <v>15</v>
      </c>
      <c r="I123" t="s">
        <v>45</v>
      </c>
      <c r="J123" t="s">
        <v>91</v>
      </c>
      <c r="K123" t="s">
        <v>116</v>
      </c>
      <c r="L123" s="5">
        <v>45739</v>
      </c>
      <c r="M123" s="7">
        <v>0.15625</v>
      </c>
      <c r="N123" s="7">
        <v>0.47222222222222221</v>
      </c>
      <c r="O123" t="s">
        <v>117</v>
      </c>
      <c r="P123" t="s">
        <v>118</v>
      </c>
      <c r="Q123">
        <v>980</v>
      </c>
      <c r="R123">
        <v>19.3</v>
      </c>
      <c r="S123" t="s">
        <v>94</v>
      </c>
      <c r="T123">
        <v>0</v>
      </c>
      <c r="U123" t="s">
        <v>95</v>
      </c>
      <c r="V123" t="s">
        <v>96</v>
      </c>
      <c r="W123">
        <v>5400</v>
      </c>
    </row>
    <row r="124" spans="1:23" x14ac:dyDescent="0.35">
      <c r="A124" t="s">
        <v>341</v>
      </c>
      <c r="B124" t="s">
        <v>231</v>
      </c>
      <c r="C124">
        <v>35</v>
      </c>
      <c r="D124" t="s">
        <v>11</v>
      </c>
      <c r="E124" t="s">
        <v>26</v>
      </c>
      <c r="F124" t="s">
        <v>232</v>
      </c>
      <c r="G124" t="s">
        <v>21</v>
      </c>
      <c r="H124" t="s">
        <v>22</v>
      </c>
      <c r="I124" t="s">
        <v>28</v>
      </c>
      <c r="J124" t="s">
        <v>97</v>
      </c>
      <c r="K124" t="s">
        <v>104</v>
      </c>
      <c r="L124" s="5">
        <v>45740</v>
      </c>
      <c r="M124" s="7">
        <v>9.0277777777777776E-2</v>
      </c>
      <c r="N124" s="7">
        <v>0.36805555555555558</v>
      </c>
      <c r="O124" t="s">
        <v>119</v>
      </c>
      <c r="P124" t="s">
        <v>100</v>
      </c>
      <c r="Q124">
        <v>1800</v>
      </c>
      <c r="R124">
        <v>26.5</v>
      </c>
      <c r="S124" t="s">
        <v>94</v>
      </c>
      <c r="T124">
        <v>0</v>
      </c>
      <c r="U124" t="s">
        <v>107</v>
      </c>
      <c r="V124" t="s">
        <v>103</v>
      </c>
      <c r="W124">
        <v>12000</v>
      </c>
    </row>
    <row r="125" spans="1:23" x14ac:dyDescent="0.35">
      <c r="A125" t="s">
        <v>342</v>
      </c>
      <c r="B125" t="s">
        <v>234</v>
      </c>
      <c r="C125">
        <v>28</v>
      </c>
      <c r="D125" t="s">
        <v>18</v>
      </c>
      <c r="E125" t="s">
        <v>12</v>
      </c>
      <c r="F125" s="3" t="s">
        <v>235</v>
      </c>
      <c r="G125" t="s">
        <v>13</v>
      </c>
      <c r="H125" t="s">
        <v>14</v>
      </c>
      <c r="I125" t="s">
        <v>15</v>
      </c>
      <c r="J125" t="s">
        <v>90</v>
      </c>
      <c r="K125" t="s">
        <v>91</v>
      </c>
      <c r="L125" s="5">
        <v>45740</v>
      </c>
      <c r="M125" s="7">
        <v>0.28125</v>
      </c>
      <c r="N125" s="7">
        <v>0.3888888888888889</v>
      </c>
      <c r="O125" t="s">
        <v>236</v>
      </c>
      <c r="P125" t="s">
        <v>93</v>
      </c>
      <c r="Q125">
        <v>150</v>
      </c>
      <c r="R125">
        <v>11.2</v>
      </c>
      <c r="S125" t="s">
        <v>101</v>
      </c>
      <c r="T125">
        <v>30</v>
      </c>
      <c r="U125" t="s">
        <v>102</v>
      </c>
      <c r="V125" t="s">
        <v>96</v>
      </c>
      <c r="W125">
        <v>3200</v>
      </c>
    </row>
    <row r="126" spans="1:23" x14ac:dyDescent="0.35">
      <c r="A126" t="s">
        <v>343</v>
      </c>
      <c r="B126" t="s">
        <v>25</v>
      </c>
      <c r="C126">
        <v>41</v>
      </c>
      <c r="D126" t="s">
        <v>11</v>
      </c>
      <c r="E126" t="s">
        <v>26</v>
      </c>
      <c r="F126" t="s">
        <v>27</v>
      </c>
      <c r="G126" t="s">
        <v>21</v>
      </c>
      <c r="H126" t="s">
        <v>15</v>
      </c>
      <c r="I126" t="s">
        <v>28</v>
      </c>
      <c r="J126" t="s">
        <v>91</v>
      </c>
      <c r="K126" t="s">
        <v>104</v>
      </c>
      <c r="L126" s="5">
        <v>45741</v>
      </c>
      <c r="M126" s="7">
        <v>5.5555555555555552E-2</v>
      </c>
      <c r="N126" s="7">
        <v>0.41319444444444442</v>
      </c>
      <c r="O126" t="s">
        <v>105</v>
      </c>
      <c r="P126" t="s">
        <v>106</v>
      </c>
      <c r="Q126">
        <v>2450</v>
      </c>
      <c r="R126">
        <v>30.2</v>
      </c>
      <c r="S126" t="s">
        <v>94</v>
      </c>
      <c r="T126">
        <v>0</v>
      </c>
      <c r="U126" t="s">
        <v>107</v>
      </c>
      <c r="V126" t="s">
        <v>103</v>
      </c>
      <c r="W126">
        <v>13200</v>
      </c>
    </row>
    <row r="127" spans="1:23" x14ac:dyDescent="0.35">
      <c r="A127" t="s">
        <v>344</v>
      </c>
      <c r="B127" t="s">
        <v>30</v>
      </c>
      <c r="C127">
        <v>25</v>
      </c>
      <c r="D127" t="s">
        <v>18</v>
      </c>
      <c r="E127" t="s">
        <v>31</v>
      </c>
      <c r="F127" t="s">
        <v>32</v>
      </c>
      <c r="G127" t="s">
        <v>21</v>
      </c>
      <c r="H127" t="s">
        <v>33</v>
      </c>
      <c r="I127" t="s">
        <v>34</v>
      </c>
      <c r="J127" t="s">
        <v>108</v>
      </c>
      <c r="K127" t="s">
        <v>109</v>
      </c>
      <c r="L127" s="5">
        <v>45741</v>
      </c>
      <c r="M127" s="7">
        <v>0.34027777777777779</v>
      </c>
      <c r="N127" s="7">
        <v>0.58333333333333337</v>
      </c>
      <c r="O127" t="s">
        <v>110</v>
      </c>
      <c r="P127" t="s">
        <v>93</v>
      </c>
      <c r="Q127">
        <v>420</v>
      </c>
      <c r="R127">
        <v>15.6</v>
      </c>
      <c r="S127" t="s">
        <v>111</v>
      </c>
      <c r="T127">
        <v>0</v>
      </c>
      <c r="U127" t="s">
        <v>95</v>
      </c>
      <c r="V127" t="s">
        <v>112</v>
      </c>
      <c r="W127">
        <v>3500</v>
      </c>
    </row>
    <row r="128" spans="1:23" x14ac:dyDescent="0.35">
      <c r="A128" t="s">
        <v>345</v>
      </c>
      <c r="B128" t="s">
        <v>36</v>
      </c>
      <c r="C128">
        <v>38</v>
      </c>
      <c r="D128" t="s">
        <v>11</v>
      </c>
      <c r="E128" t="s">
        <v>37</v>
      </c>
      <c r="F128" t="s">
        <v>38</v>
      </c>
      <c r="G128" t="s">
        <v>21</v>
      </c>
      <c r="H128" t="s">
        <v>39</v>
      </c>
      <c r="I128" t="s">
        <v>40</v>
      </c>
      <c r="J128" t="s">
        <v>113</v>
      </c>
      <c r="K128" t="s">
        <v>114</v>
      </c>
      <c r="L128" s="5">
        <v>45742</v>
      </c>
      <c r="M128" s="7">
        <v>0.91666666666666663</v>
      </c>
      <c r="N128" s="7">
        <v>0.57291666666666663</v>
      </c>
      <c r="O128" t="s">
        <v>115</v>
      </c>
      <c r="P128" t="s">
        <v>100</v>
      </c>
      <c r="Q128">
        <v>1980</v>
      </c>
      <c r="R128">
        <v>27.5</v>
      </c>
      <c r="S128" t="s">
        <v>94</v>
      </c>
      <c r="T128">
        <v>0</v>
      </c>
      <c r="U128" t="s">
        <v>102</v>
      </c>
      <c r="V128" t="s">
        <v>103</v>
      </c>
      <c r="W128">
        <v>9700</v>
      </c>
    </row>
    <row r="129" spans="1:23" x14ac:dyDescent="0.35">
      <c r="A129" t="s">
        <v>346</v>
      </c>
      <c r="B129" t="s">
        <v>42</v>
      </c>
      <c r="C129">
        <v>31</v>
      </c>
      <c r="D129" t="s">
        <v>18</v>
      </c>
      <c r="E129" t="s">
        <v>43</v>
      </c>
      <c r="F129" t="s">
        <v>44</v>
      </c>
      <c r="G129" t="s">
        <v>21</v>
      </c>
      <c r="H129" t="s">
        <v>15</v>
      </c>
      <c r="I129" t="s">
        <v>45</v>
      </c>
      <c r="J129" t="s">
        <v>91</v>
      </c>
      <c r="K129" t="s">
        <v>116</v>
      </c>
      <c r="L129" s="5">
        <v>45742</v>
      </c>
      <c r="M129" s="7">
        <v>0.15625</v>
      </c>
      <c r="N129" s="7">
        <v>0.47222222222222221</v>
      </c>
      <c r="O129" t="s">
        <v>117</v>
      </c>
      <c r="P129" t="s">
        <v>118</v>
      </c>
      <c r="Q129">
        <v>980</v>
      </c>
      <c r="R129">
        <v>19.3</v>
      </c>
      <c r="S129" t="s">
        <v>101</v>
      </c>
      <c r="T129">
        <v>35</v>
      </c>
      <c r="U129" t="s">
        <v>95</v>
      </c>
      <c r="V129" t="s">
        <v>96</v>
      </c>
      <c r="W129">
        <v>5400</v>
      </c>
    </row>
    <row r="130" spans="1:23" x14ac:dyDescent="0.35">
      <c r="A130" t="s">
        <v>347</v>
      </c>
      <c r="B130" t="s">
        <v>47</v>
      </c>
      <c r="C130">
        <v>45</v>
      </c>
      <c r="D130" t="s">
        <v>11</v>
      </c>
      <c r="E130" t="s">
        <v>48</v>
      </c>
      <c r="F130" t="s">
        <v>49</v>
      </c>
      <c r="G130" t="s">
        <v>21</v>
      </c>
      <c r="H130" t="s">
        <v>14</v>
      </c>
      <c r="I130" t="s">
        <v>28</v>
      </c>
      <c r="J130" t="s">
        <v>90</v>
      </c>
      <c r="K130" t="s">
        <v>104</v>
      </c>
      <c r="L130" s="5">
        <v>45743</v>
      </c>
      <c r="M130" s="7">
        <v>0.42708333333333331</v>
      </c>
      <c r="N130" s="7">
        <v>0.77083333333333337</v>
      </c>
      <c r="O130" t="s">
        <v>119</v>
      </c>
      <c r="P130" t="s">
        <v>100</v>
      </c>
      <c r="Q130">
        <v>1650</v>
      </c>
      <c r="R130">
        <v>26.8</v>
      </c>
      <c r="S130" t="s">
        <v>94</v>
      </c>
      <c r="T130">
        <v>0</v>
      </c>
      <c r="U130" t="s">
        <v>107</v>
      </c>
      <c r="V130" t="s">
        <v>103</v>
      </c>
      <c r="W130">
        <v>11000</v>
      </c>
    </row>
    <row r="131" spans="1:23" x14ac:dyDescent="0.35">
      <c r="A131" t="s">
        <v>348</v>
      </c>
      <c r="B131" t="s">
        <v>51</v>
      </c>
      <c r="C131">
        <v>27</v>
      </c>
      <c r="D131" t="s">
        <v>18</v>
      </c>
      <c r="E131" t="s">
        <v>52</v>
      </c>
      <c r="F131" t="s">
        <v>53</v>
      </c>
      <c r="G131" t="s">
        <v>21</v>
      </c>
      <c r="H131" t="s">
        <v>22</v>
      </c>
      <c r="I131" t="s">
        <v>40</v>
      </c>
      <c r="J131" t="s">
        <v>97</v>
      </c>
      <c r="K131" t="s">
        <v>114</v>
      </c>
      <c r="L131" s="5">
        <v>45743</v>
      </c>
      <c r="M131" s="7">
        <v>0.24305555555555555</v>
      </c>
      <c r="N131" s="7">
        <v>0.72222222222222221</v>
      </c>
      <c r="O131" t="s">
        <v>120</v>
      </c>
      <c r="P131" t="s">
        <v>93</v>
      </c>
      <c r="Q131">
        <v>740</v>
      </c>
      <c r="R131">
        <v>17.2</v>
      </c>
      <c r="S131" t="s">
        <v>111</v>
      </c>
      <c r="T131">
        <v>0</v>
      </c>
      <c r="U131" t="s">
        <v>95</v>
      </c>
      <c r="V131" t="s">
        <v>96</v>
      </c>
      <c r="W131">
        <v>4100</v>
      </c>
    </row>
    <row r="132" spans="1:23" x14ac:dyDescent="0.35">
      <c r="A132" t="s">
        <v>349</v>
      </c>
      <c r="B132" t="s">
        <v>55</v>
      </c>
      <c r="C132">
        <v>36</v>
      </c>
      <c r="D132" t="s">
        <v>11</v>
      </c>
      <c r="E132" t="s">
        <v>12</v>
      </c>
      <c r="F132" s="3" t="s">
        <v>56</v>
      </c>
      <c r="G132" t="s">
        <v>13</v>
      </c>
      <c r="H132" t="s">
        <v>57</v>
      </c>
      <c r="I132" t="s">
        <v>33</v>
      </c>
      <c r="J132" t="s">
        <v>121</v>
      </c>
      <c r="K132" t="s">
        <v>108</v>
      </c>
      <c r="L132" s="5">
        <v>45744</v>
      </c>
      <c r="M132" s="7">
        <v>0.60069444444444442</v>
      </c>
      <c r="N132" s="7">
        <v>0.71527777777777779</v>
      </c>
      <c r="O132" t="s">
        <v>122</v>
      </c>
      <c r="P132" t="s">
        <v>93</v>
      </c>
      <c r="Q132">
        <v>125</v>
      </c>
      <c r="R132">
        <v>12</v>
      </c>
      <c r="S132" t="s">
        <v>94</v>
      </c>
      <c r="T132">
        <v>0</v>
      </c>
      <c r="U132" t="s">
        <v>102</v>
      </c>
      <c r="V132" t="s">
        <v>103</v>
      </c>
      <c r="W132">
        <v>1800</v>
      </c>
    </row>
    <row r="133" spans="1:23" x14ac:dyDescent="0.35">
      <c r="A133" t="s">
        <v>350</v>
      </c>
      <c r="B133" t="s">
        <v>59</v>
      </c>
      <c r="C133">
        <v>30</v>
      </c>
      <c r="D133" t="s">
        <v>18</v>
      </c>
      <c r="E133" t="s">
        <v>19</v>
      </c>
      <c r="F133" t="s">
        <v>60</v>
      </c>
      <c r="G133" t="s">
        <v>13</v>
      </c>
      <c r="H133" t="s">
        <v>15</v>
      </c>
      <c r="I133" t="s">
        <v>14</v>
      </c>
      <c r="J133" t="s">
        <v>91</v>
      </c>
      <c r="K133" t="s">
        <v>90</v>
      </c>
      <c r="L133" s="5">
        <v>45744</v>
      </c>
      <c r="M133" s="7">
        <v>0.40277777777777779</v>
      </c>
      <c r="N133" s="7">
        <v>0.51736111111111116</v>
      </c>
      <c r="O133" t="s">
        <v>123</v>
      </c>
      <c r="P133" t="s">
        <v>118</v>
      </c>
      <c r="Q133">
        <v>310</v>
      </c>
      <c r="R133">
        <v>20.5</v>
      </c>
      <c r="S133" t="s">
        <v>101</v>
      </c>
      <c r="T133">
        <v>35</v>
      </c>
      <c r="U133" t="s">
        <v>95</v>
      </c>
      <c r="V133" t="s">
        <v>96</v>
      </c>
      <c r="W133">
        <v>6200</v>
      </c>
    </row>
    <row r="134" spans="1:23" x14ac:dyDescent="0.35">
      <c r="A134" t="s">
        <v>351</v>
      </c>
      <c r="B134" t="s">
        <v>62</v>
      </c>
      <c r="C134">
        <v>52</v>
      </c>
      <c r="D134" t="s">
        <v>11</v>
      </c>
      <c r="E134" t="s">
        <v>26</v>
      </c>
      <c r="F134" t="s">
        <v>63</v>
      </c>
      <c r="G134" t="s">
        <v>21</v>
      </c>
      <c r="H134" t="s">
        <v>22</v>
      </c>
      <c r="I134" t="s">
        <v>23</v>
      </c>
      <c r="J134" t="s">
        <v>97</v>
      </c>
      <c r="K134" t="s">
        <v>98</v>
      </c>
      <c r="L134" s="5">
        <v>45745</v>
      </c>
      <c r="M134" s="7">
        <v>0.96875</v>
      </c>
      <c r="N134" s="7">
        <v>0.12152777777777778</v>
      </c>
      <c r="O134" t="s">
        <v>124</v>
      </c>
      <c r="P134" t="s">
        <v>100</v>
      </c>
      <c r="Q134">
        <v>1200</v>
      </c>
      <c r="R134">
        <v>28</v>
      </c>
      <c r="S134" t="s">
        <v>94</v>
      </c>
      <c r="T134">
        <v>0</v>
      </c>
      <c r="U134" t="s">
        <v>107</v>
      </c>
      <c r="V134" t="s">
        <v>125</v>
      </c>
      <c r="W134">
        <v>14000</v>
      </c>
    </row>
    <row r="135" spans="1:23" x14ac:dyDescent="0.35">
      <c r="A135" t="s">
        <v>352</v>
      </c>
      <c r="B135" t="s">
        <v>65</v>
      </c>
      <c r="C135">
        <v>24</v>
      </c>
      <c r="D135" t="s">
        <v>18</v>
      </c>
      <c r="E135" t="s">
        <v>12</v>
      </c>
      <c r="F135" s="3" t="s">
        <v>66</v>
      </c>
      <c r="G135" t="s">
        <v>13</v>
      </c>
      <c r="H135" t="s">
        <v>39</v>
      </c>
      <c r="I135" t="s">
        <v>15</v>
      </c>
      <c r="J135" t="s">
        <v>113</v>
      </c>
      <c r="K135" t="s">
        <v>91</v>
      </c>
      <c r="L135" s="5">
        <v>45745</v>
      </c>
      <c r="M135" s="7">
        <v>0.25694444444444442</v>
      </c>
      <c r="N135" s="7">
        <v>0.3611111111111111</v>
      </c>
      <c r="O135" t="s">
        <v>126</v>
      </c>
      <c r="P135" t="s">
        <v>93</v>
      </c>
      <c r="Q135">
        <v>160</v>
      </c>
      <c r="R135">
        <v>10.4</v>
      </c>
      <c r="S135" t="s">
        <v>111</v>
      </c>
      <c r="T135">
        <v>0</v>
      </c>
      <c r="U135" t="s">
        <v>102</v>
      </c>
      <c r="V135" t="s">
        <v>112</v>
      </c>
      <c r="W135">
        <v>900</v>
      </c>
    </row>
    <row r="136" spans="1:23" x14ac:dyDescent="0.35">
      <c r="A136" t="s">
        <v>353</v>
      </c>
      <c r="B136" t="s">
        <v>68</v>
      </c>
      <c r="C136">
        <v>40</v>
      </c>
      <c r="D136" t="s">
        <v>11</v>
      </c>
      <c r="E136" t="s">
        <v>37</v>
      </c>
      <c r="F136" t="s">
        <v>69</v>
      </c>
      <c r="G136" t="s">
        <v>21</v>
      </c>
      <c r="H136" t="s">
        <v>33</v>
      </c>
      <c r="I136" t="s">
        <v>34</v>
      </c>
      <c r="J136" t="s">
        <v>108</v>
      </c>
      <c r="K136" t="s">
        <v>109</v>
      </c>
      <c r="L136" s="5">
        <v>45746</v>
      </c>
      <c r="M136" s="7">
        <v>0.84722222222222221</v>
      </c>
      <c r="N136" s="7">
        <v>9.0277777777777776E-2</v>
      </c>
      <c r="O136" t="s">
        <v>127</v>
      </c>
      <c r="P136" t="s">
        <v>100</v>
      </c>
      <c r="Q136">
        <v>1340</v>
      </c>
      <c r="R136">
        <v>22.6</v>
      </c>
      <c r="S136" t="s">
        <v>94</v>
      </c>
      <c r="T136">
        <v>0</v>
      </c>
      <c r="U136" t="s">
        <v>95</v>
      </c>
      <c r="V136" t="s">
        <v>103</v>
      </c>
      <c r="W136">
        <v>8700</v>
      </c>
    </row>
    <row r="137" spans="1:23" x14ac:dyDescent="0.35">
      <c r="A137" t="s">
        <v>354</v>
      </c>
      <c r="B137" t="s">
        <v>71</v>
      </c>
      <c r="C137">
        <v>33</v>
      </c>
      <c r="D137" t="s">
        <v>18</v>
      </c>
      <c r="E137" t="s">
        <v>43</v>
      </c>
      <c r="F137" t="s">
        <v>72</v>
      </c>
      <c r="G137" t="s">
        <v>21</v>
      </c>
      <c r="H137" t="s">
        <v>15</v>
      </c>
      <c r="I137" t="s">
        <v>40</v>
      </c>
      <c r="J137" t="s">
        <v>91</v>
      </c>
      <c r="K137" t="s">
        <v>114</v>
      </c>
      <c r="L137" s="5">
        <v>45746</v>
      </c>
      <c r="M137" s="7">
        <v>0.11805555555555555</v>
      </c>
      <c r="N137" s="7">
        <v>0.64583333333333337</v>
      </c>
      <c r="O137" t="s">
        <v>128</v>
      </c>
      <c r="P137" t="s">
        <v>106</v>
      </c>
      <c r="Q137">
        <v>2600</v>
      </c>
      <c r="R137">
        <v>31.4</v>
      </c>
      <c r="S137" t="s">
        <v>101</v>
      </c>
      <c r="T137">
        <v>90</v>
      </c>
      <c r="U137" t="s">
        <v>107</v>
      </c>
      <c r="V137" t="s">
        <v>96</v>
      </c>
      <c r="W137">
        <v>15000</v>
      </c>
    </row>
    <row r="138" spans="1:23" x14ac:dyDescent="0.35">
      <c r="A138" t="s">
        <v>355</v>
      </c>
      <c r="B138" t="s">
        <v>74</v>
      </c>
      <c r="C138">
        <v>47</v>
      </c>
      <c r="D138" t="s">
        <v>11</v>
      </c>
      <c r="E138" t="s">
        <v>19</v>
      </c>
      <c r="F138" t="s">
        <v>75</v>
      </c>
      <c r="G138" t="s">
        <v>21</v>
      </c>
      <c r="H138" t="s">
        <v>14</v>
      </c>
      <c r="I138" t="s">
        <v>23</v>
      </c>
      <c r="J138" t="s">
        <v>90</v>
      </c>
      <c r="K138" t="s">
        <v>98</v>
      </c>
      <c r="L138" s="5">
        <v>45747</v>
      </c>
      <c r="M138" s="7">
        <v>0.54513888888888884</v>
      </c>
      <c r="N138" s="7">
        <v>0.71875</v>
      </c>
      <c r="O138" t="s">
        <v>129</v>
      </c>
      <c r="P138" t="s">
        <v>93</v>
      </c>
      <c r="Q138">
        <v>390</v>
      </c>
      <c r="R138">
        <v>16.100000000000001</v>
      </c>
      <c r="S138" t="s">
        <v>94</v>
      </c>
      <c r="T138">
        <v>0</v>
      </c>
      <c r="U138" t="s">
        <v>95</v>
      </c>
      <c r="V138" t="s">
        <v>103</v>
      </c>
      <c r="W138">
        <v>3000</v>
      </c>
    </row>
    <row r="139" spans="1:23" x14ac:dyDescent="0.35">
      <c r="A139" t="s">
        <v>356</v>
      </c>
      <c r="B139" t="s">
        <v>131</v>
      </c>
      <c r="C139">
        <v>28</v>
      </c>
      <c r="D139" t="s">
        <v>18</v>
      </c>
      <c r="E139" t="s">
        <v>52</v>
      </c>
      <c r="F139" t="s">
        <v>132</v>
      </c>
      <c r="G139" t="s">
        <v>21</v>
      </c>
      <c r="H139" t="s">
        <v>33</v>
      </c>
      <c r="I139" t="s">
        <v>28</v>
      </c>
      <c r="J139" t="s">
        <v>108</v>
      </c>
      <c r="K139" t="s">
        <v>104</v>
      </c>
      <c r="L139" s="5">
        <v>45747</v>
      </c>
      <c r="M139" s="7">
        <v>0.32291666666666669</v>
      </c>
      <c r="N139" s="7">
        <v>0.75694444444444442</v>
      </c>
      <c r="O139" t="s">
        <v>133</v>
      </c>
      <c r="P139" t="s">
        <v>118</v>
      </c>
      <c r="Q139">
        <v>980</v>
      </c>
      <c r="R139">
        <v>21</v>
      </c>
      <c r="S139" t="s">
        <v>111</v>
      </c>
      <c r="T139">
        <v>0</v>
      </c>
      <c r="U139" t="s">
        <v>102</v>
      </c>
      <c r="V139" t="s">
        <v>96</v>
      </c>
      <c r="W139">
        <v>7200</v>
      </c>
    </row>
    <row r="140" spans="1:23" x14ac:dyDescent="0.35">
      <c r="A140" t="s">
        <v>357</v>
      </c>
      <c r="B140" t="s">
        <v>135</v>
      </c>
      <c r="C140">
        <v>39</v>
      </c>
      <c r="D140" t="s">
        <v>11</v>
      </c>
      <c r="E140" t="s">
        <v>12</v>
      </c>
      <c r="F140" s="3" t="s">
        <v>136</v>
      </c>
      <c r="G140" t="s">
        <v>13</v>
      </c>
      <c r="H140" t="s">
        <v>15</v>
      </c>
      <c r="I140" t="s">
        <v>22</v>
      </c>
      <c r="J140" t="s">
        <v>91</v>
      </c>
      <c r="K140" t="s">
        <v>97</v>
      </c>
      <c r="L140" s="5">
        <v>45748</v>
      </c>
      <c r="M140" s="7">
        <v>0.47916666666666669</v>
      </c>
      <c r="N140" s="7">
        <v>0.56944444444444442</v>
      </c>
      <c r="O140" t="s">
        <v>137</v>
      </c>
      <c r="P140" t="s">
        <v>93</v>
      </c>
      <c r="Q140">
        <v>110</v>
      </c>
      <c r="R140">
        <v>8.6</v>
      </c>
      <c r="S140" t="s">
        <v>94</v>
      </c>
      <c r="T140">
        <v>0</v>
      </c>
      <c r="U140" t="s">
        <v>95</v>
      </c>
      <c r="V140" t="s">
        <v>103</v>
      </c>
      <c r="W140">
        <v>1500</v>
      </c>
    </row>
    <row r="141" spans="1:23" x14ac:dyDescent="0.35">
      <c r="A141" t="s">
        <v>358</v>
      </c>
      <c r="B141" t="s">
        <v>139</v>
      </c>
      <c r="C141">
        <v>26</v>
      </c>
      <c r="D141" t="s">
        <v>18</v>
      </c>
      <c r="E141" t="s">
        <v>19</v>
      </c>
      <c r="F141" t="s">
        <v>140</v>
      </c>
      <c r="G141" t="s">
        <v>13</v>
      </c>
      <c r="H141" t="s">
        <v>57</v>
      </c>
      <c r="I141" t="s">
        <v>39</v>
      </c>
      <c r="J141" t="s">
        <v>121</v>
      </c>
      <c r="K141" t="s">
        <v>113</v>
      </c>
      <c r="L141" s="5">
        <v>45748</v>
      </c>
      <c r="M141" s="7">
        <v>0.66666666666666663</v>
      </c>
      <c r="N141" s="7">
        <v>0.76736111111111116</v>
      </c>
      <c r="O141" t="s">
        <v>141</v>
      </c>
      <c r="P141" t="s">
        <v>93</v>
      </c>
      <c r="Q141">
        <v>140</v>
      </c>
      <c r="R141">
        <v>11.2</v>
      </c>
      <c r="S141" t="s">
        <v>101</v>
      </c>
      <c r="T141">
        <v>20</v>
      </c>
      <c r="U141" t="s">
        <v>95</v>
      </c>
      <c r="V141" t="s">
        <v>96</v>
      </c>
      <c r="W141">
        <v>2700</v>
      </c>
    </row>
    <row r="142" spans="1:23" x14ac:dyDescent="0.35">
      <c r="A142" t="s">
        <v>359</v>
      </c>
      <c r="B142" t="s">
        <v>143</v>
      </c>
      <c r="C142">
        <v>50</v>
      </c>
      <c r="D142" t="s">
        <v>11</v>
      </c>
      <c r="E142" t="s">
        <v>26</v>
      </c>
      <c r="F142" t="s">
        <v>144</v>
      </c>
      <c r="G142" t="s">
        <v>21</v>
      </c>
      <c r="H142" t="s">
        <v>14</v>
      </c>
      <c r="I142" t="s">
        <v>34</v>
      </c>
      <c r="J142" t="s">
        <v>90</v>
      </c>
      <c r="K142" t="s">
        <v>109</v>
      </c>
      <c r="L142" s="5">
        <v>45749</v>
      </c>
      <c r="M142" s="7">
        <v>0.88194444444444442</v>
      </c>
      <c r="N142" s="7">
        <v>0.2013888888888889</v>
      </c>
      <c r="O142" t="s">
        <v>145</v>
      </c>
      <c r="P142" t="s">
        <v>100</v>
      </c>
      <c r="Q142">
        <v>1450</v>
      </c>
      <c r="R142">
        <v>25.9</v>
      </c>
      <c r="S142" t="s">
        <v>94</v>
      </c>
      <c r="T142">
        <v>0</v>
      </c>
      <c r="U142" t="s">
        <v>107</v>
      </c>
      <c r="V142" t="s">
        <v>125</v>
      </c>
      <c r="W142">
        <v>11800</v>
      </c>
    </row>
    <row r="143" spans="1:23" x14ac:dyDescent="0.35">
      <c r="A143" t="s">
        <v>360</v>
      </c>
      <c r="B143" t="s">
        <v>222</v>
      </c>
      <c r="C143">
        <v>31</v>
      </c>
      <c r="D143" t="s">
        <v>18</v>
      </c>
      <c r="E143" t="s">
        <v>31</v>
      </c>
      <c r="F143" t="s">
        <v>148</v>
      </c>
      <c r="G143" t="s">
        <v>21</v>
      </c>
      <c r="H143" t="s">
        <v>15</v>
      </c>
      <c r="I143" t="s">
        <v>23</v>
      </c>
      <c r="J143" t="s">
        <v>91</v>
      </c>
      <c r="K143" t="s">
        <v>98</v>
      </c>
      <c r="L143" s="5">
        <v>45749</v>
      </c>
      <c r="M143" s="7">
        <v>0.18402777777777779</v>
      </c>
      <c r="N143" s="7">
        <v>0.33333333333333331</v>
      </c>
      <c r="O143" t="s">
        <v>149</v>
      </c>
      <c r="P143" t="s">
        <v>93</v>
      </c>
      <c r="Q143">
        <v>330</v>
      </c>
      <c r="R143">
        <v>13.5</v>
      </c>
      <c r="S143" t="s">
        <v>111</v>
      </c>
      <c r="T143">
        <v>0</v>
      </c>
      <c r="U143" t="s">
        <v>102</v>
      </c>
      <c r="V143" t="s">
        <v>112</v>
      </c>
      <c r="W143">
        <v>2100</v>
      </c>
    </row>
    <row r="144" spans="1:23" x14ac:dyDescent="0.35">
      <c r="A144" t="s">
        <v>361</v>
      </c>
      <c r="B144" t="s">
        <v>224</v>
      </c>
      <c r="C144">
        <v>44</v>
      </c>
      <c r="D144" t="s">
        <v>11</v>
      </c>
      <c r="E144" t="s">
        <v>12</v>
      </c>
      <c r="F144" s="3" t="s">
        <v>225</v>
      </c>
      <c r="G144" t="s">
        <v>13</v>
      </c>
      <c r="H144" t="s">
        <v>22</v>
      </c>
      <c r="I144" t="s">
        <v>57</v>
      </c>
      <c r="J144" t="s">
        <v>97</v>
      </c>
      <c r="K144" t="s">
        <v>121</v>
      </c>
      <c r="L144" s="5">
        <v>45750</v>
      </c>
      <c r="M144" s="7">
        <v>0.38194444444444442</v>
      </c>
      <c r="N144" s="7">
        <v>0.4861111111111111</v>
      </c>
      <c r="O144" t="s">
        <v>226</v>
      </c>
      <c r="P144" t="s">
        <v>93</v>
      </c>
      <c r="Q144">
        <v>125</v>
      </c>
      <c r="R144">
        <v>12</v>
      </c>
      <c r="S144" t="s">
        <v>94</v>
      </c>
      <c r="T144">
        <v>0</v>
      </c>
      <c r="U144" t="s">
        <v>95</v>
      </c>
      <c r="V144" t="s">
        <v>103</v>
      </c>
      <c r="W144">
        <v>2100</v>
      </c>
    </row>
    <row r="145" spans="1:23" x14ac:dyDescent="0.35">
      <c r="A145" t="s">
        <v>362</v>
      </c>
      <c r="B145" t="s">
        <v>30</v>
      </c>
      <c r="C145">
        <v>25</v>
      </c>
      <c r="D145" t="s">
        <v>18</v>
      </c>
      <c r="E145" t="s">
        <v>19</v>
      </c>
      <c r="F145" t="s">
        <v>20</v>
      </c>
      <c r="G145" t="s">
        <v>21</v>
      </c>
      <c r="H145" t="s">
        <v>15</v>
      </c>
      <c r="I145" t="s">
        <v>28</v>
      </c>
      <c r="J145" t="s">
        <v>91</v>
      </c>
      <c r="K145" t="s">
        <v>104</v>
      </c>
      <c r="L145" s="5">
        <v>45750</v>
      </c>
      <c r="M145" s="7">
        <v>5.2083333333333336E-2</v>
      </c>
      <c r="N145" s="7">
        <v>0.40972222222222221</v>
      </c>
      <c r="O145" t="s">
        <v>99</v>
      </c>
      <c r="P145" t="s">
        <v>100</v>
      </c>
      <c r="Q145">
        <v>860</v>
      </c>
      <c r="R145">
        <v>24</v>
      </c>
      <c r="S145" t="s">
        <v>101</v>
      </c>
      <c r="T145">
        <v>50</v>
      </c>
      <c r="U145" t="s">
        <v>102</v>
      </c>
      <c r="V145" t="s">
        <v>96</v>
      </c>
      <c r="W145">
        <v>8400</v>
      </c>
    </row>
    <row r="146" spans="1:23" x14ac:dyDescent="0.35">
      <c r="A146" t="s">
        <v>363</v>
      </c>
      <c r="B146" t="s">
        <v>197</v>
      </c>
      <c r="C146">
        <v>38</v>
      </c>
      <c r="D146" t="s">
        <v>11</v>
      </c>
      <c r="E146" t="s">
        <v>37</v>
      </c>
      <c r="F146" t="s">
        <v>38</v>
      </c>
      <c r="G146" t="s">
        <v>21</v>
      </c>
      <c r="H146" t="s">
        <v>39</v>
      </c>
      <c r="I146" t="s">
        <v>40</v>
      </c>
      <c r="J146" t="s">
        <v>113</v>
      </c>
      <c r="K146" t="s">
        <v>114</v>
      </c>
      <c r="L146" s="5">
        <v>45751</v>
      </c>
      <c r="M146" s="7">
        <v>0.91666666666666663</v>
      </c>
      <c r="N146" s="7">
        <v>0.57291666666666663</v>
      </c>
      <c r="O146" t="s">
        <v>115</v>
      </c>
      <c r="P146" t="s">
        <v>100</v>
      </c>
      <c r="Q146">
        <v>1980</v>
      </c>
      <c r="R146">
        <v>27.5</v>
      </c>
      <c r="S146" t="s">
        <v>94</v>
      </c>
      <c r="T146">
        <v>0</v>
      </c>
      <c r="U146" t="s">
        <v>102</v>
      </c>
      <c r="V146" t="s">
        <v>103</v>
      </c>
      <c r="W146">
        <v>9700</v>
      </c>
    </row>
    <row r="147" spans="1:23" x14ac:dyDescent="0.35">
      <c r="A147" t="s">
        <v>364</v>
      </c>
      <c r="B147" t="s">
        <v>42</v>
      </c>
      <c r="C147">
        <v>31</v>
      </c>
      <c r="D147" t="s">
        <v>18</v>
      </c>
      <c r="E147" t="s">
        <v>43</v>
      </c>
      <c r="F147" t="s">
        <v>44</v>
      </c>
      <c r="G147" t="s">
        <v>21</v>
      </c>
      <c r="H147" t="s">
        <v>15</v>
      </c>
      <c r="I147" t="s">
        <v>45</v>
      </c>
      <c r="J147" t="s">
        <v>91</v>
      </c>
      <c r="K147" t="s">
        <v>116</v>
      </c>
      <c r="L147" s="5">
        <v>45751</v>
      </c>
      <c r="M147" s="7">
        <v>0.15625</v>
      </c>
      <c r="N147" s="7">
        <v>0.47222222222222221</v>
      </c>
      <c r="O147" t="s">
        <v>117</v>
      </c>
      <c r="P147" t="s">
        <v>118</v>
      </c>
      <c r="Q147">
        <v>980</v>
      </c>
      <c r="R147">
        <v>19.3</v>
      </c>
      <c r="S147" t="s">
        <v>94</v>
      </c>
      <c r="T147">
        <v>0</v>
      </c>
      <c r="U147" t="s">
        <v>95</v>
      </c>
      <c r="V147" t="s">
        <v>96</v>
      </c>
      <c r="W147">
        <v>5400</v>
      </c>
    </row>
    <row r="148" spans="1:23" x14ac:dyDescent="0.35">
      <c r="A148" t="s">
        <v>365</v>
      </c>
      <c r="B148" t="s">
        <v>231</v>
      </c>
      <c r="C148">
        <v>35</v>
      </c>
      <c r="D148" t="s">
        <v>11</v>
      </c>
      <c r="E148" t="s">
        <v>26</v>
      </c>
      <c r="F148" t="s">
        <v>232</v>
      </c>
      <c r="G148" t="s">
        <v>21</v>
      </c>
      <c r="H148" t="s">
        <v>22</v>
      </c>
      <c r="I148" t="s">
        <v>28</v>
      </c>
      <c r="J148" t="s">
        <v>97</v>
      </c>
      <c r="K148" t="s">
        <v>104</v>
      </c>
      <c r="L148" s="5">
        <v>45752</v>
      </c>
      <c r="M148" s="7">
        <v>9.0277777777777776E-2</v>
      </c>
      <c r="N148" s="7">
        <v>0.36805555555555558</v>
      </c>
      <c r="O148" t="s">
        <v>119</v>
      </c>
      <c r="P148" t="s">
        <v>100</v>
      </c>
      <c r="Q148">
        <v>1800</v>
      </c>
      <c r="R148">
        <v>26.5</v>
      </c>
      <c r="S148" t="s">
        <v>94</v>
      </c>
      <c r="T148">
        <v>0</v>
      </c>
      <c r="U148" t="s">
        <v>107</v>
      </c>
      <c r="V148" t="s">
        <v>103</v>
      </c>
      <c r="W148">
        <v>12000</v>
      </c>
    </row>
    <row r="149" spans="1:23" x14ac:dyDescent="0.35">
      <c r="A149" t="s">
        <v>366</v>
      </c>
      <c r="B149" t="s">
        <v>234</v>
      </c>
      <c r="C149">
        <v>28</v>
      </c>
      <c r="D149" t="s">
        <v>18</v>
      </c>
      <c r="E149" t="s">
        <v>12</v>
      </c>
      <c r="F149" s="3" t="s">
        <v>235</v>
      </c>
      <c r="G149" t="s">
        <v>13</v>
      </c>
      <c r="H149" t="s">
        <v>14</v>
      </c>
      <c r="I149" t="s">
        <v>15</v>
      </c>
      <c r="J149" t="s">
        <v>90</v>
      </c>
      <c r="K149" t="s">
        <v>91</v>
      </c>
      <c r="L149" s="5">
        <v>45752</v>
      </c>
      <c r="M149" s="7">
        <v>0.28125</v>
      </c>
      <c r="N149" s="7">
        <v>0.3888888888888889</v>
      </c>
      <c r="O149" t="s">
        <v>236</v>
      </c>
      <c r="P149" t="s">
        <v>93</v>
      </c>
      <c r="Q149">
        <v>150</v>
      </c>
      <c r="R149">
        <v>11.2</v>
      </c>
      <c r="S149" t="s">
        <v>101</v>
      </c>
      <c r="T149">
        <v>30</v>
      </c>
      <c r="U149" t="s">
        <v>102</v>
      </c>
      <c r="V149" t="s">
        <v>96</v>
      </c>
      <c r="W149">
        <v>3200</v>
      </c>
    </row>
    <row r="150" spans="1:23" x14ac:dyDescent="0.35">
      <c r="A150" t="s">
        <v>367</v>
      </c>
      <c r="B150" t="s">
        <v>25</v>
      </c>
      <c r="C150">
        <v>41</v>
      </c>
      <c r="D150" t="s">
        <v>11</v>
      </c>
      <c r="E150" t="s">
        <v>26</v>
      </c>
      <c r="F150" t="s">
        <v>27</v>
      </c>
      <c r="G150" t="s">
        <v>21</v>
      </c>
      <c r="H150" t="s">
        <v>15</v>
      </c>
      <c r="I150" t="s">
        <v>28</v>
      </c>
      <c r="J150" t="s">
        <v>91</v>
      </c>
      <c r="K150" t="s">
        <v>104</v>
      </c>
      <c r="L150" s="5">
        <v>45753</v>
      </c>
      <c r="M150" s="7">
        <v>5.5555555555555552E-2</v>
      </c>
      <c r="N150" s="7">
        <v>0.41319444444444442</v>
      </c>
      <c r="O150" t="s">
        <v>105</v>
      </c>
      <c r="P150" t="s">
        <v>106</v>
      </c>
      <c r="Q150">
        <v>2450</v>
      </c>
      <c r="R150">
        <v>30.2</v>
      </c>
      <c r="S150" t="s">
        <v>94</v>
      </c>
      <c r="T150">
        <v>0</v>
      </c>
      <c r="U150" t="s">
        <v>107</v>
      </c>
      <c r="V150" t="s">
        <v>103</v>
      </c>
      <c r="W150">
        <v>13200</v>
      </c>
    </row>
    <row r="151" spans="1:23" x14ac:dyDescent="0.35">
      <c r="A151" t="s">
        <v>368</v>
      </c>
      <c r="B151" t="s">
        <v>30</v>
      </c>
      <c r="C151">
        <v>25</v>
      </c>
      <c r="D151" t="s">
        <v>18</v>
      </c>
      <c r="E151" t="s">
        <v>31</v>
      </c>
      <c r="F151" t="s">
        <v>32</v>
      </c>
      <c r="G151" t="s">
        <v>21</v>
      </c>
      <c r="H151" t="s">
        <v>33</v>
      </c>
      <c r="I151" t="s">
        <v>34</v>
      </c>
      <c r="J151" t="s">
        <v>108</v>
      </c>
      <c r="K151" t="s">
        <v>109</v>
      </c>
      <c r="L151" s="5">
        <v>45753</v>
      </c>
      <c r="M151" s="7">
        <v>0.34027777777777779</v>
      </c>
      <c r="N151" s="7">
        <v>0.58333333333333337</v>
      </c>
      <c r="O151" t="s">
        <v>110</v>
      </c>
      <c r="P151" t="s">
        <v>93</v>
      </c>
      <c r="Q151">
        <v>420</v>
      </c>
      <c r="R151">
        <v>15.6</v>
      </c>
      <c r="S151" t="s">
        <v>111</v>
      </c>
      <c r="T151">
        <v>0</v>
      </c>
      <c r="U151" t="s">
        <v>95</v>
      </c>
      <c r="V151" t="s">
        <v>112</v>
      </c>
      <c r="W151">
        <v>3500</v>
      </c>
    </row>
    <row r="152" spans="1:23" x14ac:dyDescent="0.35">
      <c r="A152" t="s">
        <v>369</v>
      </c>
      <c r="B152" t="s">
        <v>36</v>
      </c>
      <c r="C152">
        <v>38</v>
      </c>
      <c r="D152" t="s">
        <v>11</v>
      </c>
      <c r="E152" t="s">
        <v>37</v>
      </c>
      <c r="F152" t="s">
        <v>38</v>
      </c>
      <c r="G152" t="s">
        <v>21</v>
      </c>
      <c r="H152" t="s">
        <v>39</v>
      </c>
      <c r="I152" t="s">
        <v>40</v>
      </c>
      <c r="J152" t="s">
        <v>113</v>
      </c>
      <c r="K152" t="s">
        <v>114</v>
      </c>
      <c r="L152" s="5">
        <v>45754</v>
      </c>
      <c r="M152" s="7">
        <v>0.91666666666666663</v>
      </c>
      <c r="N152" s="7">
        <v>0.57291666666666663</v>
      </c>
      <c r="O152" t="s">
        <v>115</v>
      </c>
      <c r="P152" t="s">
        <v>100</v>
      </c>
      <c r="Q152">
        <v>1980</v>
      </c>
      <c r="R152">
        <v>27.5</v>
      </c>
      <c r="S152" t="s">
        <v>94</v>
      </c>
      <c r="T152">
        <v>0</v>
      </c>
      <c r="U152" t="s">
        <v>102</v>
      </c>
      <c r="V152" t="s">
        <v>103</v>
      </c>
      <c r="W152">
        <v>9700</v>
      </c>
    </row>
    <row r="153" spans="1:23" x14ac:dyDescent="0.35">
      <c r="A153" t="s">
        <v>370</v>
      </c>
      <c r="B153" t="s">
        <v>42</v>
      </c>
      <c r="C153">
        <v>31</v>
      </c>
      <c r="D153" t="s">
        <v>18</v>
      </c>
      <c r="E153" t="s">
        <v>43</v>
      </c>
      <c r="F153" t="s">
        <v>44</v>
      </c>
      <c r="G153" t="s">
        <v>21</v>
      </c>
      <c r="H153" t="s">
        <v>15</v>
      </c>
      <c r="I153" t="s">
        <v>45</v>
      </c>
      <c r="J153" t="s">
        <v>91</v>
      </c>
      <c r="K153" t="s">
        <v>116</v>
      </c>
      <c r="L153" s="5">
        <v>45754</v>
      </c>
      <c r="M153" s="7">
        <v>0.15625</v>
      </c>
      <c r="N153" s="7">
        <v>0.47222222222222221</v>
      </c>
      <c r="O153" t="s">
        <v>117</v>
      </c>
      <c r="P153" t="s">
        <v>118</v>
      </c>
      <c r="Q153">
        <v>980</v>
      </c>
      <c r="R153">
        <v>19.3</v>
      </c>
      <c r="S153" t="s">
        <v>101</v>
      </c>
      <c r="T153">
        <v>35</v>
      </c>
      <c r="U153" t="s">
        <v>95</v>
      </c>
      <c r="V153" t="s">
        <v>96</v>
      </c>
      <c r="W153">
        <v>5400</v>
      </c>
    </row>
    <row r="154" spans="1:23" x14ac:dyDescent="0.35">
      <c r="A154" t="s">
        <v>371</v>
      </c>
      <c r="B154" t="s">
        <v>47</v>
      </c>
      <c r="C154">
        <v>45</v>
      </c>
      <c r="D154" t="s">
        <v>11</v>
      </c>
      <c r="E154" t="s">
        <v>48</v>
      </c>
      <c r="F154" t="s">
        <v>49</v>
      </c>
      <c r="G154" t="s">
        <v>21</v>
      </c>
      <c r="H154" t="s">
        <v>14</v>
      </c>
      <c r="I154" t="s">
        <v>28</v>
      </c>
      <c r="J154" t="s">
        <v>90</v>
      </c>
      <c r="K154" t="s">
        <v>104</v>
      </c>
      <c r="L154" s="5">
        <v>45755</v>
      </c>
      <c r="M154" s="7">
        <v>0.42708333333333331</v>
      </c>
      <c r="N154" s="7">
        <v>0.77083333333333337</v>
      </c>
      <c r="O154" t="s">
        <v>119</v>
      </c>
      <c r="P154" t="s">
        <v>100</v>
      </c>
      <c r="Q154">
        <v>1650</v>
      </c>
      <c r="R154">
        <v>26.8</v>
      </c>
      <c r="S154" t="s">
        <v>94</v>
      </c>
      <c r="T154">
        <v>0</v>
      </c>
      <c r="U154" t="s">
        <v>107</v>
      </c>
      <c r="V154" t="s">
        <v>103</v>
      </c>
      <c r="W154">
        <v>11000</v>
      </c>
    </row>
    <row r="155" spans="1:23" x14ac:dyDescent="0.35">
      <c r="A155" t="s">
        <v>372</v>
      </c>
      <c r="B155" t="s">
        <v>51</v>
      </c>
      <c r="C155">
        <v>27</v>
      </c>
      <c r="D155" t="s">
        <v>18</v>
      </c>
      <c r="E155" t="s">
        <v>52</v>
      </c>
      <c r="F155" t="s">
        <v>53</v>
      </c>
      <c r="G155" t="s">
        <v>21</v>
      </c>
      <c r="H155" t="s">
        <v>22</v>
      </c>
      <c r="I155" t="s">
        <v>40</v>
      </c>
      <c r="J155" t="s">
        <v>97</v>
      </c>
      <c r="K155" t="s">
        <v>114</v>
      </c>
      <c r="L155" s="5">
        <v>45755</v>
      </c>
      <c r="M155" s="7">
        <v>0.24305555555555555</v>
      </c>
      <c r="N155" s="7">
        <v>0.72222222222222221</v>
      </c>
      <c r="O155" t="s">
        <v>120</v>
      </c>
      <c r="P155" t="s">
        <v>93</v>
      </c>
      <c r="Q155">
        <v>740</v>
      </c>
      <c r="R155">
        <v>17.2</v>
      </c>
      <c r="S155" t="s">
        <v>111</v>
      </c>
      <c r="T155">
        <v>0</v>
      </c>
      <c r="U155" t="s">
        <v>95</v>
      </c>
      <c r="V155" t="s">
        <v>96</v>
      </c>
      <c r="W155">
        <v>4100</v>
      </c>
    </row>
    <row r="156" spans="1:23" x14ac:dyDescent="0.35">
      <c r="A156" t="s">
        <v>373</v>
      </c>
      <c r="B156" t="s">
        <v>55</v>
      </c>
      <c r="C156">
        <v>36</v>
      </c>
      <c r="D156" t="s">
        <v>11</v>
      </c>
      <c r="E156" t="s">
        <v>12</v>
      </c>
      <c r="F156" s="3" t="s">
        <v>56</v>
      </c>
      <c r="G156" t="s">
        <v>13</v>
      </c>
      <c r="H156" t="s">
        <v>57</v>
      </c>
      <c r="I156" t="s">
        <v>33</v>
      </c>
      <c r="J156" t="s">
        <v>121</v>
      </c>
      <c r="K156" t="s">
        <v>108</v>
      </c>
      <c r="L156" s="5">
        <v>45756</v>
      </c>
      <c r="M156" s="7">
        <v>0.60069444444444442</v>
      </c>
      <c r="N156" s="7">
        <v>0.71527777777777779</v>
      </c>
      <c r="O156" t="s">
        <v>122</v>
      </c>
      <c r="P156" t="s">
        <v>93</v>
      </c>
      <c r="Q156">
        <v>125</v>
      </c>
      <c r="R156">
        <v>12</v>
      </c>
      <c r="S156" t="s">
        <v>94</v>
      </c>
      <c r="T156">
        <v>0</v>
      </c>
      <c r="U156" t="s">
        <v>102</v>
      </c>
      <c r="V156" t="s">
        <v>103</v>
      </c>
      <c r="W156">
        <v>1800</v>
      </c>
    </row>
    <row r="157" spans="1:23" x14ac:dyDescent="0.35">
      <c r="A157" t="s">
        <v>374</v>
      </c>
      <c r="B157" t="s">
        <v>59</v>
      </c>
      <c r="C157">
        <v>30</v>
      </c>
      <c r="D157" t="s">
        <v>18</v>
      </c>
      <c r="E157" t="s">
        <v>19</v>
      </c>
      <c r="F157" t="s">
        <v>60</v>
      </c>
      <c r="G157" t="s">
        <v>13</v>
      </c>
      <c r="H157" t="s">
        <v>15</v>
      </c>
      <c r="I157" t="s">
        <v>14</v>
      </c>
      <c r="J157" t="s">
        <v>91</v>
      </c>
      <c r="K157" t="s">
        <v>90</v>
      </c>
      <c r="L157" s="5">
        <v>45756</v>
      </c>
      <c r="M157" s="7">
        <v>0.40277777777777779</v>
      </c>
      <c r="N157" s="7">
        <v>0.51736111111111116</v>
      </c>
      <c r="O157" t="s">
        <v>123</v>
      </c>
      <c r="P157" t="s">
        <v>118</v>
      </c>
      <c r="Q157">
        <v>310</v>
      </c>
      <c r="R157">
        <v>20.5</v>
      </c>
      <c r="S157" t="s">
        <v>101</v>
      </c>
      <c r="T157">
        <v>35</v>
      </c>
      <c r="U157" t="s">
        <v>95</v>
      </c>
      <c r="V157" t="s">
        <v>96</v>
      </c>
      <c r="W157">
        <v>6200</v>
      </c>
    </row>
    <row r="158" spans="1:23" x14ac:dyDescent="0.35">
      <c r="A158" t="s">
        <v>375</v>
      </c>
      <c r="B158" t="s">
        <v>62</v>
      </c>
      <c r="C158">
        <v>52</v>
      </c>
      <c r="D158" t="s">
        <v>11</v>
      </c>
      <c r="E158" t="s">
        <v>26</v>
      </c>
      <c r="F158" t="s">
        <v>63</v>
      </c>
      <c r="G158" t="s">
        <v>21</v>
      </c>
      <c r="H158" t="s">
        <v>22</v>
      </c>
      <c r="I158" t="s">
        <v>23</v>
      </c>
      <c r="J158" t="s">
        <v>97</v>
      </c>
      <c r="K158" t="s">
        <v>98</v>
      </c>
      <c r="L158" s="5">
        <v>45757</v>
      </c>
      <c r="M158" s="7">
        <v>0.96875</v>
      </c>
      <c r="N158" s="7">
        <v>0.12152777777777778</v>
      </c>
      <c r="O158" t="s">
        <v>124</v>
      </c>
      <c r="P158" t="s">
        <v>100</v>
      </c>
      <c r="Q158">
        <v>1200</v>
      </c>
      <c r="R158">
        <v>28</v>
      </c>
      <c r="S158" t="s">
        <v>94</v>
      </c>
      <c r="T158">
        <v>0</v>
      </c>
      <c r="U158" t="s">
        <v>107</v>
      </c>
      <c r="V158" t="s">
        <v>125</v>
      </c>
      <c r="W158">
        <v>14000</v>
      </c>
    </row>
    <row r="159" spans="1:23" x14ac:dyDescent="0.35">
      <c r="A159" t="s">
        <v>376</v>
      </c>
      <c r="B159" t="s">
        <v>65</v>
      </c>
      <c r="C159">
        <v>24</v>
      </c>
      <c r="D159" t="s">
        <v>18</v>
      </c>
      <c r="E159" t="s">
        <v>12</v>
      </c>
      <c r="F159" s="3" t="s">
        <v>66</v>
      </c>
      <c r="G159" t="s">
        <v>13</v>
      </c>
      <c r="H159" t="s">
        <v>39</v>
      </c>
      <c r="I159" t="s">
        <v>15</v>
      </c>
      <c r="J159" t="s">
        <v>113</v>
      </c>
      <c r="K159" t="s">
        <v>91</v>
      </c>
      <c r="L159" s="5">
        <v>45757</v>
      </c>
      <c r="M159" s="7">
        <v>0.25694444444444442</v>
      </c>
      <c r="N159" s="7">
        <v>0.3611111111111111</v>
      </c>
      <c r="O159" t="s">
        <v>126</v>
      </c>
      <c r="P159" t="s">
        <v>93</v>
      </c>
      <c r="Q159">
        <v>160</v>
      </c>
      <c r="R159">
        <v>10.4</v>
      </c>
      <c r="S159" t="s">
        <v>111</v>
      </c>
      <c r="T159">
        <v>0</v>
      </c>
      <c r="U159" t="s">
        <v>102</v>
      </c>
      <c r="V159" t="s">
        <v>112</v>
      </c>
      <c r="W159">
        <v>900</v>
      </c>
    </row>
    <row r="160" spans="1:23" x14ac:dyDescent="0.35">
      <c r="A160" t="s">
        <v>377</v>
      </c>
      <c r="B160" t="s">
        <v>68</v>
      </c>
      <c r="C160">
        <v>40</v>
      </c>
      <c r="D160" t="s">
        <v>11</v>
      </c>
      <c r="E160" t="s">
        <v>37</v>
      </c>
      <c r="F160" t="s">
        <v>69</v>
      </c>
      <c r="G160" t="s">
        <v>21</v>
      </c>
      <c r="H160" t="s">
        <v>33</v>
      </c>
      <c r="I160" t="s">
        <v>34</v>
      </c>
      <c r="J160" t="s">
        <v>108</v>
      </c>
      <c r="K160" t="s">
        <v>109</v>
      </c>
      <c r="L160" s="5">
        <v>45758</v>
      </c>
      <c r="M160" s="7">
        <v>0.84722222222222221</v>
      </c>
      <c r="N160" s="7">
        <v>9.0277777777777776E-2</v>
      </c>
      <c r="O160" t="s">
        <v>127</v>
      </c>
      <c r="P160" t="s">
        <v>100</v>
      </c>
      <c r="Q160">
        <v>1340</v>
      </c>
      <c r="R160">
        <v>22.6</v>
      </c>
      <c r="S160" t="s">
        <v>94</v>
      </c>
      <c r="T160">
        <v>0</v>
      </c>
      <c r="U160" t="s">
        <v>95</v>
      </c>
      <c r="V160" t="s">
        <v>103</v>
      </c>
      <c r="W160">
        <v>8700</v>
      </c>
    </row>
    <row r="161" spans="1:23" x14ac:dyDescent="0.35">
      <c r="A161" t="s">
        <v>378</v>
      </c>
      <c r="B161" t="s">
        <v>71</v>
      </c>
      <c r="C161">
        <v>33</v>
      </c>
      <c r="D161" t="s">
        <v>18</v>
      </c>
      <c r="E161" t="s">
        <v>43</v>
      </c>
      <c r="F161" t="s">
        <v>72</v>
      </c>
      <c r="G161" t="s">
        <v>21</v>
      </c>
      <c r="H161" t="s">
        <v>15</v>
      </c>
      <c r="I161" t="s">
        <v>40</v>
      </c>
      <c r="J161" t="s">
        <v>91</v>
      </c>
      <c r="K161" t="s">
        <v>114</v>
      </c>
      <c r="L161" s="5">
        <v>45758</v>
      </c>
      <c r="M161" s="7">
        <v>0.11805555555555555</v>
      </c>
      <c r="N161" s="7">
        <v>0.64583333333333337</v>
      </c>
      <c r="O161" t="s">
        <v>128</v>
      </c>
      <c r="P161" t="s">
        <v>106</v>
      </c>
      <c r="Q161">
        <v>2600</v>
      </c>
      <c r="R161">
        <v>31.4</v>
      </c>
      <c r="S161" t="s">
        <v>101</v>
      </c>
      <c r="T161">
        <v>90</v>
      </c>
      <c r="U161" t="s">
        <v>107</v>
      </c>
      <c r="V161" t="s">
        <v>96</v>
      </c>
      <c r="W161">
        <v>15000</v>
      </c>
    </row>
    <row r="162" spans="1:23" x14ac:dyDescent="0.35">
      <c r="A162" t="s">
        <v>379</v>
      </c>
      <c r="B162" t="s">
        <v>74</v>
      </c>
      <c r="C162">
        <v>47</v>
      </c>
      <c r="D162" t="s">
        <v>11</v>
      </c>
      <c r="E162" t="s">
        <v>19</v>
      </c>
      <c r="F162" t="s">
        <v>75</v>
      </c>
      <c r="G162" t="s">
        <v>21</v>
      </c>
      <c r="H162" t="s">
        <v>14</v>
      </c>
      <c r="I162" t="s">
        <v>23</v>
      </c>
      <c r="J162" t="s">
        <v>90</v>
      </c>
      <c r="K162" t="s">
        <v>98</v>
      </c>
      <c r="L162" s="5">
        <v>45759</v>
      </c>
      <c r="M162" s="7">
        <v>0.54513888888888884</v>
      </c>
      <c r="N162" s="7">
        <v>0.71875</v>
      </c>
      <c r="O162" t="s">
        <v>129</v>
      </c>
      <c r="P162" t="s">
        <v>93</v>
      </c>
      <c r="Q162">
        <v>390</v>
      </c>
      <c r="R162">
        <v>16.100000000000001</v>
      </c>
      <c r="S162" t="s">
        <v>94</v>
      </c>
      <c r="T162">
        <v>0</v>
      </c>
      <c r="U162" t="s">
        <v>95</v>
      </c>
      <c r="V162" t="s">
        <v>103</v>
      </c>
      <c r="W162">
        <v>3000</v>
      </c>
    </row>
    <row r="163" spans="1:23" x14ac:dyDescent="0.35">
      <c r="A163" t="s">
        <v>380</v>
      </c>
      <c r="B163" t="s">
        <v>131</v>
      </c>
      <c r="C163">
        <v>28</v>
      </c>
      <c r="D163" t="s">
        <v>18</v>
      </c>
      <c r="E163" t="s">
        <v>52</v>
      </c>
      <c r="F163" t="s">
        <v>132</v>
      </c>
      <c r="G163" t="s">
        <v>21</v>
      </c>
      <c r="H163" t="s">
        <v>33</v>
      </c>
      <c r="I163" t="s">
        <v>28</v>
      </c>
      <c r="J163" t="s">
        <v>108</v>
      </c>
      <c r="K163" t="s">
        <v>104</v>
      </c>
      <c r="L163" s="5">
        <v>45759</v>
      </c>
      <c r="M163" s="7">
        <v>0.32291666666666669</v>
      </c>
      <c r="N163" s="7">
        <v>0.75694444444444442</v>
      </c>
      <c r="O163" t="s">
        <v>133</v>
      </c>
      <c r="P163" t="s">
        <v>118</v>
      </c>
      <c r="Q163">
        <v>980</v>
      </c>
      <c r="R163">
        <v>21</v>
      </c>
      <c r="S163" t="s">
        <v>111</v>
      </c>
      <c r="T163">
        <v>0</v>
      </c>
      <c r="U163" t="s">
        <v>102</v>
      </c>
      <c r="V163" t="s">
        <v>96</v>
      </c>
      <c r="W163">
        <v>7200</v>
      </c>
    </row>
    <row r="164" spans="1:23" x14ac:dyDescent="0.35">
      <c r="A164" t="s">
        <v>381</v>
      </c>
      <c r="B164" t="s">
        <v>135</v>
      </c>
      <c r="C164">
        <v>39</v>
      </c>
      <c r="D164" t="s">
        <v>11</v>
      </c>
      <c r="E164" t="s">
        <v>12</v>
      </c>
      <c r="F164" s="3" t="s">
        <v>136</v>
      </c>
      <c r="G164" t="s">
        <v>13</v>
      </c>
      <c r="H164" t="s">
        <v>15</v>
      </c>
      <c r="I164" t="s">
        <v>22</v>
      </c>
      <c r="J164" t="s">
        <v>91</v>
      </c>
      <c r="K164" t="s">
        <v>97</v>
      </c>
      <c r="L164" s="5">
        <v>45760</v>
      </c>
      <c r="M164" s="7">
        <v>0.47916666666666669</v>
      </c>
      <c r="N164" s="7">
        <v>0.56944444444444442</v>
      </c>
      <c r="O164" t="s">
        <v>137</v>
      </c>
      <c r="P164" t="s">
        <v>93</v>
      </c>
      <c r="Q164">
        <v>110</v>
      </c>
      <c r="R164">
        <v>8.6</v>
      </c>
      <c r="S164" t="s">
        <v>94</v>
      </c>
      <c r="T164">
        <v>0</v>
      </c>
      <c r="U164" t="s">
        <v>95</v>
      </c>
      <c r="V164" t="s">
        <v>103</v>
      </c>
      <c r="W164">
        <v>1500</v>
      </c>
    </row>
    <row r="165" spans="1:23" x14ac:dyDescent="0.35">
      <c r="A165" t="s">
        <v>382</v>
      </c>
      <c r="B165" t="s">
        <v>139</v>
      </c>
      <c r="C165">
        <v>26</v>
      </c>
      <c r="D165" t="s">
        <v>18</v>
      </c>
      <c r="E165" t="s">
        <v>19</v>
      </c>
      <c r="F165" t="s">
        <v>140</v>
      </c>
      <c r="G165" t="s">
        <v>13</v>
      </c>
      <c r="H165" t="s">
        <v>57</v>
      </c>
      <c r="I165" t="s">
        <v>39</v>
      </c>
      <c r="J165" t="s">
        <v>121</v>
      </c>
      <c r="K165" t="s">
        <v>113</v>
      </c>
      <c r="L165" s="5">
        <v>45760</v>
      </c>
      <c r="M165" s="7">
        <v>0.66666666666666663</v>
      </c>
      <c r="N165" s="7">
        <v>0.76736111111111116</v>
      </c>
      <c r="O165" t="s">
        <v>141</v>
      </c>
      <c r="P165" t="s">
        <v>93</v>
      </c>
      <c r="Q165">
        <v>140</v>
      </c>
      <c r="R165">
        <v>11.2</v>
      </c>
      <c r="S165" t="s">
        <v>101</v>
      </c>
      <c r="T165">
        <v>20</v>
      </c>
      <c r="U165" t="s">
        <v>95</v>
      </c>
      <c r="V165" t="s">
        <v>96</v>
      </c>
      <c r="W165">
        <v>2700</v>
      </c>
    </row>
    <row r="166" spans="1:23" x14ac:dyDescent="0.35">
      <c r="A166" t="s">
        <v>383</v>
      </c>
      <c r="B166" t="s">
        <v>143</v>
      </c>
      <c r="C166">
        <v>50</v>
      </c>
      <c r="D166" t="s">
        <v>11</v>
      </c>
      <c r="E166" t="s">
        <v>26</v>
      </c>
      <c r="F166" t="s">
        <v>144</v>
      </c>
      <c r="G166" t="s">
        <v>21</v>
      </c>
      <c r="H166" t="s">
        <v>14</v>
      </c>
      <c r="I166" t="s">
        <v>34</v>
      </c>
      <c r="J166" t="s">
        <v>90</v>
      </c>
      <c r="K166" t="s">
        <v>109</v>
      </c>
      <c r="L166" s="5">
        <v>45761</v>
      </c>
      <c r="M166" s="7">
        <v>0.88194444444444442</v>
      </c>
      <c r="N166" s="7">
        <v>0.2013888888888889</v>
      </c>
      <c r="O166" t="s">
        <v>145</v>
      </c>
      <c r="P166" t="s">
        <v>100</v>
      </c>
      <c r="Q166">
        <v>1450</v>
      </c>
      <c r="R166">
        <v>25.9</v>
      </c>
      <c r="S166" t="s">
        <v>94</v>
      </c>
      <c r="T166">
        <v>0</v>
      </c>
      <c r="U166" t="s">
        <v>107</v>
      </c>
      <c r="V166" t="s">
        <v>125</v>
      </c>
      <c r="W166">
        <v>11800</v>
      </c>
    </row>
    <row r="167" spans="1:23" x14ac:dyDescent="0.35">
      <c r="A167" t="s">
        <v>384</v>
      </c>
      <c r="B167" t="s">
        <v>222</v>
      </c>
      <c r="C167">
        <v>31</v>
      </c>
      <c r="D167" t="s">
        <v>18</v>
      </c>
      <c r="E167" t="s">
        <v>31</v>
      </c>
      <c r="F167" t="s">
        <v>148</v>
      </c>
      <c r="G167" t="s">
        <v>21</v>
      </c>
      <c r="H167" t="s">
        <v>15</v>
      </c>
      <c r="I167" t="s">
        <v>23</v>
      </c>
      <c r="J167" t="s">
        <v>91</v>
      </c>
      <c r="K167" t="s">
        <v>98</v>
      </c>
      <c r="L167" s="5">
        <v>45761</v>
      </c>
      <c r="M167" s="7">
        <v>0.18402777777777779</v>
      </c>
      <c r="N167" s="7">
        <v>0.33333333333333331</v>
      </c>
      <c r="O167" t="s">
        <v>149</v>
      </c>
      <c r="P167" t="s">
        <v>93</v>
      </c>
      <c r="Q167">
        <v>330</v>
      </c>
      <c r="R167">
        <v>13.5</v>
      </c>
      <c r="S167" t="s">
        <v>111</v>
      </c>
      <c r="T167">
        <v>0</v>
      </c>
      <c r="U167" t="s">
        <v>102</v>
      </c>
      <c r="V167" t="s">
        <v>112</v>
      </c>
      <c r="W167">
        <v>2100</v>
      </c>
    </row>
    <row r="168" spans="1:23" x14ac:dyDescent="0.35">
      <c r="A168" t="s">
        <v>385</v>
      </c>
      <c r="B168" t="s">
        <v>224</v>
      </c>
      <c r="C168">
        <v>44</v>
      </c>
      <c r="D168" t="s">
        <v>11</v>
      </c>
      <c r="E168" t="s">
        <v>12</v>
      </c>
      <c r="F168" s="3" t="s">
        <v>225</v>
      </c>
      <c r="G168" t="s">
        <v>13</v>
      </c>
      <c r="H168" t="s">
        <v>22</v>
      </c>
      <c r="I168" t="s">
        <v>57</v>
      </c>
      <c r="J168" t="s">
        <v>97</v>
      </c>
      <c r="K168" t="s">
        <v>121</v>
      </c>
      <c r="L168" s="5">
        <v>45762</v>
      </c>
      <c r="M168" s="7">
        <v>0.38194444444444442</v>
      </c>
      <c r="N168" s="7">
        <v>0.4861111111111111</v>
      </c>
      <c r="O168" t="s">
        <v>226</v>
      </c>
      <c r="P168" t="s">
        <v>93</v>
      </c>
      <c r="Q168">
        <v>125</v>
      </c>
      <c r="R168">
        <v>12</v>
      </c>
      <c r="S168" t="s">
        <v>94</v>
      </c>
      <c r="T168">
        <v>0</v>
      </c>
      <c r="U168" t="s">
        <v>95</v>
      </c>
      <c r="V168" t="s">
        <v>103</v>
      </c>
      <c r="W168">
        <v>2100</v>
      </c>
    </row>
    <row r="169" spans="1:23" x14ac:dyDescent="0.35">
      <c r="A169" t="s">
        <v>386</v>
      </c>
      <c r="B169" t="s">
        <v>30</v>
      </c>
      <c r="C169">
        <v>25</v>
      </c>
      <c r="D169" t="s">
        <v>18</v>
      </c>
      <c r="E169" t="s">
        <v>19</v>
      </c>
      <c r="F169" t="s">
        <v>20</v>
      </c>
      <c r="G169" t="s">
        <v>21</v>
      </c>
      <c r="H169" t="s">
        <v>15</v>
      </c>
      <c r="I169" t="s">
        <v>28</v>
      </c>
      <c r="J169" t="s">
        <v>91</v>
      </c>
      <c r="K169" t="s">
        <v>104</v>
      </c>
      <c r="L169" s="5">
        <v>45762</v>
      </c>
      <c r="M169" s="7">
        <v>5.2083333333333336E-2</v>
      </c>
      <c r="N169" s="7">
        <v>0.40972222222222221</v>
      </c>
      <c r="O169" t="s">
        <v>99</v>
      </c>
      <c r="P169" t="s">
        <v>100</v>
      </c>
      <c r="Q169">
        <v>860</v>
      </c>
      <c r="R169">
        <v>24</v>
      </c>
      <c r="S169" t="s">
        <v>101</v>
      </c>
      <c r="T169">
        <v>50</v>
      </c>
      <c r="U169" t="s">
        <v>102</v>
      </c>
      <c r="V169" t="s">
        <v>96</v>
      </c>
      <c r="W169">
        <v>8400</v>
      </c>
    </row>
    <row r="170" spans="1:23" x14ac:dyDescent="0.35">
      <c r="A170" t="s">
        <v>387</v>
      </c>
      <c r="B170" t="s">
        <v>197</v>
      </c>
      <c r="C170">
        <v>38</v>
      </c>
      <c r="D170" t="s">
        <v>11</v>
      </c>
      <c r="E170" t="s">
        <v>37</v>
      </c>
      <c r="F170" t="s">
        <v>38</v>
      </c>
      <c r="G170" t="s">
        <v>21</v>
      </c>
      <c r="H170" t="s">
        <v>39</v>
      </c>
      <c r="I170" t="s">
        <v>40</v>
      </c>
      <c r="J170" t="s">
        <v>113</v>
      </c>
      <c r="K170" t="s">
        <v>114</v>
      </c>
      <c r="L170" s="5">
        <v>45763</v>
      </c>
      <c r="M170" s="7">
        <v>0.91666666666666663</v>
      </c>
      <c r="N170" s="7">
        <v>0.57291666666666663</v>
      </c>
      <c r="O170" t="s">
        <v>115</v>
      </c>
      <c r="P170" t="s">
        <v>100</v>
      </c>
      <c r="Q170">
        <v>1980</v>
      </c>
      <c r="R170">
        <v>27.5</v>
      </c>
      <c r="S170" t="s">
        <v>94</v>
      </c>
      <c r="T170">
        <v>0</v>
      </c>
      <c r="U170" t="s">
        <v>102</v>
      </c>
      <c r="V170" t="s">
        <v>103</v>
      </c>
      <c r="W170">
        <v>9700</v>
      </c>
    </row>
    <row r="171" spans="1:23" x14ac:dyDescent="0.35">
      <c r="A171" t="s">
        <v>388</v>
      </c>
      <c r="B171" t="s">
        <v>42</v>
      </c>
      <c r="C171">
        <v>31</v>
      </c>
      <c r="D171" t="s">
        <v>18</v>
      </c>
      <c r="E171" t="s">
        <v>43</v>
      </c>
      <c r="F171" t="s">
        <v>44</v>
      </c>
      <c r="G171" t="s">
        <v>21</v>
      </c>
      <c r="H171" t="s">
        <v>15</v>
      </c>
      <c r="I171" t="s">
        <v>45</v>
      </c>
      <c r="J171" t="s">
        <v>91</v>
      </c>
      <c r="K171" t="s">
        <v>116</v>
      </c>
      <c r="L171" s="5">
        <v>45763</v>
      </c>
      <c r="M171" s="7">
        <v>0.15625</v>
      </c>
      <c r="N171" s="7">
        <v>0.47222222222222221</v>
      </c>
      <c r="O171" t="s">
        <v>117</v>
      </c>
      <c r="P171" t="s">
        <v>118</v>
      </c>
      <c r="Q171">
        <v>980</v>
      </c>
      <c r="R171">
        <v>19.3</v>
      </c>
      <c r="S171" t="s">
        <v>94</v>
      </c>
      <c r="T171">
        <v>0</v>
      </c>
      <c r="U171" t="s">
        <v>95</v>
      </c>
      <c r="V171" t="s">
        <v>96</v>
      </c>
      <c r="W171">
        <v>5400</v>
      </c>
    </row>
    <row r="172" spans="1:23" x14ac:dyDescent="0.35">
      <c r="A172" t="s">
        <v>389</v>
      </c>
      <c r="B172" t="s">
        <v>231</v>
      </c>
      <c r="C172">
        <v>35</v>
      </c>
      <c r="D172" t="s">
        <v>11</v>
      </c>
      <c r="E172" t="s">
        <v>26</v>
      </c>
      <c r="F172" t="s">
        <v>232</v>
      </c>
      <c r="G172" t="s">
        <v>21</v>
      </c>
      <c r="H172" t="s">
        <v>22</v>
      </c>
      <c r="I172" t="s">
        <v>28</v>
      </c>
      <c r="J172" t="s">
        <v>97</v>
      </c>
      <c r="K172" t="s">
        <v>104</v>
      </c>
      <c r="L172" s="5">
        <v>45764</v>
      </c>
      <c r="M172" s="7">
        <v>9.0277777777777776E-2</v>
      </c>
      <c r="N172" s="7">
        <v>0.36805555555555558</v>
      </c>
      <c r="O172" t="s">
        <v>119</v>
      </c>
      <c r="P172" t="s">
        <v>100</v>
      </c>
      <c r="Q172">
        <v>1800</v>
      </c>
      <c r="R172">
        <v>26.5</v>
      </c>
      <c r="S172" t="s">
        <v>94</v>
      </c>
      <c r="T172">
        <v>0</v>
      </c>
      <c r="U172" t="s">
        <v>107</v>
      </c>
      <c r="V172" t="s">
        <v>103</v>
      </c>
      <c r="W172">
        <v>12000</v>
      </c>
    </row>
    <row r="173" spans="1:23" x14ac:dyDescent="0.35">
      <c r="A173" t="s">
        <v>390</v>
      </c>
      <c r="B173" t="s">
        <v>234</v>
      </c>
      <c r="C173">
        <v>28</v>
      </c>
      <c r="D173" t="s">
        <v>18</v>
      </c>
      <c r="E173" t="s">
        <v>12</v>
      </c>
      <c r="F173" s="3" t="s">
        <v>235</v>
      </c>
      <c r="G173" t="s">
        <v>13</v>
      </c>
      <c r="H173" t="s">
        <v>14</v>
      </c>
      <c r="I173" t="s">
        <v>15</v>
      </c>
      <c r="J173" t="s">
        <v>90</v>
      </c>
      <c r="K173" t="s">
        <v>91</v>
      </c>
      <c r="L173" s="5">
        <v>45764</v>
      </c>
      <c r="M173" s="7">
        <v>0.28125</v>
      </c>
      <c r="N173" s="7">
        <v>0.3888888888888889</v>
      </c>
      <c r="O173" t="s">
        <v>236</v>
      </c>
      <c r="P173" t="s">
        <v>93</v>
      </c>
      <c r="Q173">
        <v>150</v>
      </c>
      <c r="R173">
        <v>11.2</v>
      </c>
      <c r="S173" t="s">
        <v>101</v>
      </c>
      <c r="T173">
        <v>30</v>
      </c>
      <c r="U173" t="s">
        <v>102</v>
      </c>
      <c r="V173" t="s">
        <v>96</v>
      </c>
      <c r="W173">
        <v>3200</v>
      </c>
    </row>
    <row r="174" spans="1:23" x14ac:dyDescent="0.35">
      <c r="A174" t="s">
        <v>391</v>
      </c>
      <c r="B174" t="s">
        <v>25</v>
      </c>
      <c r="C174">
        <v>41</v>
      </c>
      <c r="D174" t="s">
        <v>11</v>
      </c>
      <c r="E174" t="s">
        <v>26</v>
      </c>
      <c r="F174" t="s">
        <v>27</v>
      </c>
      <c r="G174" t="s">
        <v>21</v>
      </c>
      <c r="H174" t="s">
        <v>15</v>
      </c>
      <c r="I174" t="s">
        <v>28</v>
      </c>
      <c r="J174" t="s">
        <v>91</v>
      </c>
      <c r="K174" t="s">
        <v>104</v>
      </c>
      <c r="L174" s="5">
        <v>45765</v>
      </c>
      <c r="M174" s="7">
        <v>5.5555555555555552E-2</v>
      </c>
      <c r="N174" s="7">
        <v>0.41319444444444442</v>
      </c>
      <c r="O174" t="s">
        <v>105</v>
      </c>
      <c r="P174" t="s">
        <v>106</v>
      </c>
      <c r="Q174">
        <v>2450</v>
      </c>
      <c r="R174">
        <v>30.2</v>
      </c>
      <c r="S174" t="s">
        <v>94</v>
      </c>
      <c r="T174">
        <v>0</v>
      </c>
      <c r="U174" t="s">
        <v>107</v>
      </c>
      <c r="V174" t="s">
        <v>103</v>
      </c>
      <c r="W174">
        <v>13200</v>
      </c>
    </row>
    <row r="175" spans="1:23" x14ac:dyDescent="0.35">
      <c r="A175" t="s">
        <v>392</v>
      </c>
      <c r="B175" t="s">
        <v>30</v>
      </c>
      <c r="C175">
        <v>25</v>
      </c>
      <c r="D175" t="s">
        <v>18</v>
      </c>
      <c r="E175" t="s">
        <v>31</v>
      </c>
      <c r="F175" t="s">
        <v>32</v>
      </c>
      <c r="G175" t="s">
        <v>21</v>
      </c>
      <c r="H175" t="s">
        <v>33</v>
      </c>
      <c r="I175" t="s">
        <v>34</v>
      </c>
      <c r="J175" t="s">
        <v>108</v>
      </c>
      <c r="K175" t="s">
        <v>109</v>
      </c>
      <c r="L175" s="5">
        <v>45765</v>
      </c>
      <c r="M175" s="7">
        <v>0.34027777777777779</v>
      </c>
      <c r="N175" s="7">
        <v>0.58333333333333337</v>
      </c>
      <c r="O175" t="s">
        <v>110</v>
      </c>
      <c r="P175" t="s">
        <v>93</v>
      </c>
      <c r="Q175">
        <v>420</v>
      </c>
      <c r="R175">
        <v>15.6</v>
      </c>
      <c r="S175" t="s">
        <v>111</v>
      </c>
      <c r="T175">
        <v>0</v>
      </c>
      <c r="U175" t="s">
        <v>95</v>
      </c>
      <c r="V175" t="s">
        <v>112</v>
      </c>
      <c r="W175">
        <v>3500</v>
      </c>
    </row>
    <row r="176" spans="1:23" x14ac:dyDescent="0.35">
      <c r="A176" t="s">
        <v>393</v>
      </c>
      <c r="B176" t="s">
        <v>36</v>
      </c>
      <c r="C176">
        <v>38</v>
      </c>
      <c r="D176" t="s">
        <v>11</v>
      </c>
      <c r="E176" t="s">
        <v>37</v>
      </c>
      <c r="F176" t="s">
        <v>38</v>
      </c>
      <c r="G176" t="s">
        <v>21</v>
      </c>
      <c r="H176" t="s">
        <v>39</v>
      </c>
      <c r="I176" t="s">
        <v>40</v>
      </c>
      <c r="J176" t="s">
        <v>113</v>
      </c>
      <c r="K176" t="s">
        <v>114</v>
      </c>
      <c r="L176" s="5">
        <v>45766</v>
      </c>
      <c r="M176" s="7">
        <v>0.91666666666666663</v>
      </c>
      <c r="N176" s="7">
        <v>0.57291666666666663</v>
      </c>
      <c r="O176" t="s">
        <v>115</v>
      </c>
      <c r="P176" t="s">
        <v>100</v>
      </c>
      <c r="Q176">
        <v>1980</v>
      </c>
      <c r="R176">
        <v>27.5</v>
      </c>
      <c r="S176" t="s">
        <v>94</v>
      </c>
      <c r="T176">
        <v>0</v>
      </c>
      <c r="U176" t="s">
        <v>102</v>
      </c>
      <c r="V176" t="s">
        <v>103</v>
      </c>
      <c r="W176">
        <v>9700</v>
      </c>
    </row>
    <row r="177" spans="1:23" x14ac:dyDescent="0.35">
      <c r="A177" t="s">
        <v>394</v>
      </c>
      <c r="B177" t="s">
        <v>42</v>
      </c>
      <c r="C177">
        <v>31</v>
      </c>
      <c r="D177" t="s">
        <v>18</v>
      </c>
      <c r="E177" t="s">
        <v>43</v>
      </c>
      <c r="F177" t="s">
        <v>44</v>
      </c>
      <c r="G177" t="s">
        <v>21</v>
      </c>
      <c r="H177" t="s">
        <v>15</v>
      </c>
      <c r="I177" t="s">
        <v>45</v>
      </c>
      <c r="J177" t="s">
        <v>91</v>
      </c>
      <c r="K177" t="s">
        <v>116</v>
      </c>
      <c r="L177" s="5">
        <v>45766</v>
      </c>
      <c r="M177" s="7">
        <v>0.15625</v>
      </c>
      <c r="N177" s="7">
        <v>0.47222222222222221</v>
      </c>
      <c r="O177" t="s">
        <v>117</v>
      </c>
      <c r="P177" t="s">
        <v>118</v>
      </c>
      <c r="Q177">
        <v>980</v>
      </c>
      <c r="R177">
        <v>19.3</v>
      </c>
      <c r="S177" t="s">
        <v>101</v>
      </c>
      <c r="T177">
        <v>35</v>
      </c>
      <c r="U177" t="s">
        <v>95</v>
      </c>
      <c r="V177" t="s">
        <v>96</v>
      </c>
      <c r="W177">
        <v>5400</v>
      </c>
    </row>
    <row r="178" spans="1:23" x14ac:dyDescent="0.35">
      <c r="A178" t="s">
        <v>395</v>
      </c>
      <c r="B178" t="s">
        <v>47</v>
      </c>
      <c r="C178">
        <v>45</v>
      </c>
      <c r="D178" t="s">
        <v>11</v>
      </c>
      <c r="E178" t="s">
        <v>48</v>
      </c>
      <c r="F178" t="s">
        <v>49</v>
      </c>
      <c r="G178" t="s">
        <v>21</v>
      </c>
      <c r="H178" t="s">
        <v>14</v>
      </c>
      <c r="I178" t="s">
        <v>28</v>
      </c>
      <c r="J178" t="s">
        <v>90</v>
      </c>
      <c r="K178" t="s">
        <v>104</v>
      </c>
      <c r="L178" s="5">
        <v>45767</v>
      </c>
      <c r="M178" s="7">
        <v>0.42708333333333331</v>
      </c>
      <c r="N178" s="7">
        <v>0.77083333333333337</v>
      </c>
      <c r="O178" t="s">
        <v>119</v>
      </c>
      <c r="P178" t="s">
        <v>100</v>
      </c>
      <c r="Q178">
        <v>1650</v>
      </c>
      <c r="R178">
        <v>26.8</v>
      </c>
      <c r="S178" t="s">
        <v>94</v>
      </c>
      <c r="T178">
        <v>0</v>
      </c>
      <c r="U178" t="s">
        <v>107</v>
      </c>
      <c r="V178" t="s">
        <v>103</v>
      </c>
      <c r="W178">
        <v>11000</v>
      </c>
    </row>
    <row r="179" spans="1:23" x14ac:dyDescent="0.35">
      <c r="A179" t="s">
        <v>396</v>
      </c>
      <c r="B179" t="s">
        <v>51</v>
      </c>
      <c r="C179">
        <v>27</v>
      </c>
      <c r="D179" t="s">
        <v>18</v>
      </c>
      <c r="E179" t="s">
        <v>52</v>
      </c>
      <c r="F179" t="s">
        <v>53</v>
      </c>
      <c r="G179" t="s">
        <v>21</v>
      </c>
      <c r="H179" t="s">
        <v>22</v>
      </c>
      <c r="I179" t="s">
        <v>40</v>
      </c>
      <c r="J179" t="s">
        <v>97</v>
      </c>
      <c r="K179" t="s">
        <v>114</v>
      </c>
      <c r="L179" s="5">
        <v>45767</v>
      </c>
      <c r="M179" s="7">
        <v>0.24305555555555555</v>
      </c>
      <c r="N179" s="7">
        <v>0.72222222222222221</v>
      </c>
      <c r="O179" t="s">
        <v>120</v>
      </c>
      <c r="P179" t="s">
        <v>93</v>
      </c>
      <c r="Q179">
        <v>740</v>
      </c>
      <c r="R179">
        <v>17.2</v>
      </c>
      <c r="S179" t="s">
        <v>111</v>
      </c>
      <c r="T179">
        <v>0</v>
      </c>
      <c r="U179" t="s">
        <v>95</v>
      </c>
      <c r="V179" t="s">
        <v>96</v>
      </c>
      <c r="W179">
        <v>4100</v>
      </c>
    </row>
    <row r="180" spans="1:23" x14ac:dyDescent="0.35">
      <c r="A180" t="s">
        <v>397</v>
      </c>
      <c r="B180" t="s">
        <v>55</v>
      </c>
      <c r="C180">
        <v>36</v>
      </c>
      <c r="D180" t="s">
        <v>11</v>
      </c>
      <c r="E180" t="s">
        <v>12</v>
      </c>
      <c r="F180" s="3" t="s">
        <v>56</v>
      </c>
      <c r="G180" t="s">
        <v>13</v>
      </c>
      <c r="H180" t="s">
        <v>57</v>
      </c>
      <c r="I180" t="s">
        <v>33</v>
      </c>
      <c r="J180" t="s">
        <v>121</v>
      </c>
      <c r="K180" t="s">
        <v>108</v>
      </c>
      <c r="L180" s="5">
        <v>45768</v>
      </c>
      <c r="M180" s="7">
        <v>0.60069444444444442</v>
      </c>
      <c r="N180" s="7">
        <v>0.71527777777777779</v>
      </c>
      <c r="O180" t="s">
        <v>122</v>
      </c>
      <c r="P180" t="s">
        <v>93</v>
      </c>
      <c r="Q180">
        <v>125</v>
      </c>
      <c r="R180">
        <v>12</v>
      </c>
      <c r="S180" t="s">
        <v>94</v>
      </c>
      <c r="T180">
        <v>0</v>
      </c>
      <c r="U180" t="s">
        <v>102</v>
      </c>
      <c r="V180" t="s">
        <v>103</v>
      </c>
      <c r="W180">
        <v>1800</v>
      </c>
    </row>
    <row r="181" spans="1:23" x14ac:dyDescent="0.35">
      <c r="A181" t="s">
        <v>398</v>
      </c>
      <c r="B181" t="s">
        <v>59</v>
      </c>
      <c r="C181">
        <v>30</v>
      </c>
      <c r="D181" t="s">
        <v>18</v>
      </c>
      <c r="E181" t="s">
        <v>19</v>
      </c>
      <c r="F181" t="s">
        <v>60</v>
      </c>
      <c r="G181" t="s">
        <v>13</v>
      </c>
      <c r="H181" t="s">
        <v>15</v>
      </c>
      <c r="I181" t="s">
        <v>14</v>
      </c>
      <c r="J181" t="s">
        <v>91</v>
      </c>
      <c r="K181" t="s">
        <v>90</v>
      </c>
      <c r="L181" s="5">
        <v>45768</v>
      </c>
      <c r="M181" s="7">
        <v>0.40277777777777779</v>
      </c>
      <c r="N181" s="7">
        <v>0.51736111111111116</v>
      </c>
      <c r="O181" t="s">
        <v>123</v>
      </c>
      <c r="P181" t="s">
        <v>118</v>
      </c>
      <c r="Q181">
        <v>310</v>
      </c>
      <c r="R181">
        <v>20.5</v>
      </c>
      <c r="S181" t="s">
        <v>101</v>
      </c>
      <c r="T181">
        <v>35</v>
      </c>
      <c r="U181" t="s">
        <v>95</v>
      </c>
      <c r="V181" t="s">
        <v>96</v>
      </c>
      <c r="W181">
        <v>6200</v>
      </c>
    </row>
    <row r="182" spans="1:23" x14ac:dyDescent="0.35">
      <c r="A182" t="s">
        <v>399</v>
      </c>
      <c r="B182" t="s">
        <v>62</v>
      </c>
      <c r="C182">
        <v>52</v>
      </c>
      <c r="D182" t="s">
        <v>11</v>
      </c>
      <c r="E182" t="s">
        <v>26</v>
      </c>
      <c r="F182" t="s">
        <v>63</v>
      </c>
      <c r="G182" t="s">
        <v>21</v>
      </c>
      <c r="H182" t="s">
        <v>22</v>
      </c>
      <c r="I182" t="s">
        <v>23</v>
      </c>
      <c r="J182" t="s">
        <v>97</v>
      </c>
      <c r="K182" t="s">
        <v>98</v>
      </c>
      <c r="L182" s="5">
        <v>45769</v>
      </c>
      <c r="M182" s="7">
        <v>0.96875</v>
      </c>
      <c r="N182" s="7">
        <v>0.12152777777777778</v>
      </c>
      <c r="O182" t="s">
        <v>124</v>
      </c>
      <c r="P182" t="s">
        <v>100</v>
      </c>
      <c r="Q182">
        <v>1200</v>
      </c>
      <c r="R182">
        <v>28</v>
      </c>
      <c r="S182" t="s">
        <v>94</v>
      </c>
      <c r="T182">
        <v>0</v>
      </c>
      <c r="U182" t="s">
        <v>107</v>
      </c>
      <c r="V182" t="s">
        <v>125</v>
      </c>
      <c r="W182">
        <v>14000</v>
      </c>
    </row>
    <row r="183" spans="1:23" x14ac:dyDescent="0.35">
      <c r="A183" t="s">
        <v>400</v>
      </c>
      <c r="B183" t="s">
        <v>65</v>
      </c>
      <c r="C183">
        <v>24</v>
      </c>
      <c r="D183" t="s">
        <v>18</v>
      </c>
      <c r="E183" t="s">
        <v>12</v>
      </c>
      <c r="F183" s="3" t="s">
        <v>66</v>
      </c>
      <c r="G183" t="s">
        <v>13</v>
      </c>
      <c r="H183" t="s">
        <v>39</v>
      </c>
      <c r="I183" t="s">
        <v>15</v>
      </c>
      <c r="J183" t="s">
        <v>113</v>
      </c>
      <c r="K183" t="s">
        <v>91</v>
      </c>
      <c r="L183" s="5">
        <v>45769</v>
      </c>
      <c r="M183" s="7">
        <v>0.25694444444444442</v>
      </c>
      <c r="N183" s="7">
        <v>0.3611111111111111</v>
      </c>
      <c r="O183" t="s">
        <v>126</v>
      </c>
      <c r="P183" t="s">
        <v>93</v>
      </c>
      <c r="Q183">
        <v>160</v>
      </c>
      <c r="R183">
        <v>10.4</v>
      </c>
      <c r="S183" t="s">
        <v>111</v>
      </c>
      <c r="T183">
        <v>0</v>
      </c>
      <c r="U183" t="s">
        <v>102</v>
      </c>
      <c r="V183" t="s">
        <v>112</v>
      </c>
      <c r="W183">
        <v>900</v>
      </c>
    </row>
    <row r="184" spans="1:23" x14ac:dyDescent="0.35">
      <c r="A184" t="s">
        <v>401</v>
      </c>
      <c r="B184" t="s">
        <v>68</v>
      </c>
      <c r="C184">
        <v>40</v>
      </c>
      <c r="D184" t="s">
        <v>11</v>
      </c>
      <c r="E184" t="s">
        <v>37</v>
      </c>
      <c r="F184" t="s">
        <v>69</v>
      </c>
      <c r="G184" t="s">
        <v>21</v>
      </c>
      <c r="H184" t="s">
        <v>33</v>
      </c>
      <c r="I184" t="s">
        <v>34</v>
      </c>
      <c r="J184" t="s">
        <v>108</v>
      </c>
      <c r="K184" t="s">
        <v>109</v>
      </c>
      <c r="L184" s="5">
        <v>45770</v>
      </c>
      <c r="M184" s="7">
        <v>0.84722222222222221</v>
      </c>
      <c r="N184" s="7">
        <v>9.0277777777777776E-2</v>
      </c>
      <c r="O184" t="s">
        <v>127</v>
      </c>
      <c r="P184" t="s">
        <v>100</v>
      </c>
      <c r="Q184">
        <v>1340</v>
      </c>
      <c r="R184">
        <v>22.6</v>
      </c>
      <c r="S184" t="s">
        <v>94</v>
      </c>
      <c r="T184">
        <v>0</v>
      </c>
      <c r="U184" t="s">
        <v>95</v>
      </c>
      <c r="V184" t="s">
        <v>103</v>
      </c>
      <c r="W184">
        <v>8700</v>
      </c>
    </row>
    <row r="185" spans="1:23" x14ac:dyDescent="0.35">
      <c r="A185" t="s">
        <v>402</v>
      </c>
      <c r="B185" t="s">
        <v>71</v>
      </c>
      <c r="C185">
        <v>33</v>
      </c>
      <c r="D185" t="s">
        <v>18</v>
      </c>
      <c r="E185" t="s">
        <v>43</v>
      </c>
      <c r="F185" t="s">
        <v>72</v>
      </c>
      <c r="G185" t="s">
        <v>21</v>
      </c>
      <c r="H185" t="s">
        <v>15</v>
      </c>
      <c r="I185" t="s">
        <v>40</v>
      </c>
      <c r="J185" t="s">
        <v>91</v>
      </c>
      <c r="K185" t="s">
        <v>114</v>
      </c>
      <c r="L185" s="5">
        <v>45770</v>
      </c>
      <c r="M185" s="7">
        <v>0.11805555555555555</v>
      </c>
      <c r="N185" s="7">
        <v>0.64583333333333337</v>
      </c>
      <c r="O185" t="s">
        <v>128</v>
      </c>
      <c r="P185" t="s">
        <v>106</v>
      </c>
      <c r="Q185">
        <v>2600</v>
      </c>
      <c r="R185">
        <v>31.4</v>
      </c>
      <c r="S185" t="s">
        <v>101</v>
      </c>
      <c r="T185">
        <v>90</v>
      </c>
      <c r="U185" t="s">
        <v>107</v>
      </c>
      <c r="V185" t="s">
        <v>96</v>
      </c>
      <c r="W185">
        <v>15000</v>
      </c>
    </row>
    <row r="186" spans="1:23" x14ac:dyDescent="0.35">
      <c r="A186" t="s">
        <v>403</v>
      </c>
      <c r="B186" t="s">
        <v>74</v>
      </c>
      <c r="C186">
        <v>47</v>
      </c>
      <c r="D186" t="s">
        <v>11</v>
      </c>
      <c r="E186" t="s">
        <v>19</v>
      </c>
      <c r="F186" t="s">
        <v>75</v>
      </c>
      <c r="G186" t="s">
        <v>21</v>
      </c>
      <c r="H186" t="s">
        <v>14</v>
      </c>
      <c r="I186" t="s">
        <v>23</v>
      </c>
      <c r="J186" t="s">
        <v>90</v>
      </c>
      <c r="K186" t="s">
        <v>98</v>
      </c>
      <c r="L186" s="5">
        <v>45771</v>
      </c>
      <c r="M186" s="7">
        <v>0.54513888888888884</v>
      </c>
      <c r="N186" s="7">
        <v>0.71875</v>
      </c>
      <c r="O186" t="s">
        <v>129</v>
      </c>
      <c r="P186" t="s">
        <v>93</v>
      </c>
      <c r="Q186">
        <v>390</v>
      </c>
      <c r="R186">
        <v>16.100000000000001</v>
      </c>
      <c r="S186" t="s">
        <v>94</v>
      </c>
      <c r="T186">
        <v>0</v>
      </c>
      <c r="U186" t="s">
        <v>95</v>
      </c>
      <c r="V186" t="s">
        <v>103</v>
      </c>
      <c r="W186">
        <v>3000</v>
      </c>
    </row>
    <row r="187" spans="1:23" x14ac:dyDescent="0.35">
      <c r="A187" t="s">
        <v>404</v>
      </c>
      <c r="B187" t="s">
        <v>131</v>
      </c>
      <c r="C187">
        <v>28</v>
      </c>
      <c r="D187" t="s">
        <v>18</v>
      </c>
      <c r="E187" t="s">
        <v>52</v>
      </c>
      <c r="F187" t="s">
        <v>132</v>
      </c>
      <c r="G187" t="s">
        <v>21</v>
      </c>
      <c r="H187" t="s">
        <v>33</v>
      </c>
      <c r="I187" t="s">
        <v>28</v>
      </c>
      <c r="J187" t="s">
        <v>108</v>
      </c>
      <c r="K187" t="s">
        <v>104</v>
      </c>
      <c r="L187" s="5">
        <v>45771</v>
      </c>
      <c r="M187" s="7">
        <v>0.32291666666666669</v>
      </c>
      <c r="N187" s="7">
        <v>0.75694444444444442</v>
      </c>
      <c r="O187" t="s">
        <v>133</v>
      </c>
      <c r="P187" t="s">
        <v>118</v>
      </c>
      <c r="Q187">
        <v>980</v>
      </c>
      <c r="R187">
        <v>21</v>
      </c>
      <c r="S187" t="s">
        <v>111</v>
      </c>
      <c r="T187">
        <v>0</v>
      </c>
      <c r="U187" t="s">
        <v>102</v>
      </c>
      <c r="V187" t="s">
        <v>96</v>
      </c>
      <c r="W187">
        <v>7200</v>
      </c>
    </row>
    <row r="188" spans="1:23" x14ac:dyDescent="0.35">
      <c r="A188" t="s">
        <v>405</v>
      </c>
      <c r="B188" t="s">
        <v>135</v>
      </c>
      <c r="C188">
        <v>39</v>
      </c>
      <c r="D188" t="s">
        <v>11</v>
      </c>
      <c r="E188" t="s">
        <v>12</v>
      </c>
      <c r="F188" s="3" t="s">
        <v>136</v>
      </c>
      <c r="G188" t="s">
        <v>13</v>
      </c>
      <c r="H188" t="s">
        <v>15</v>
      </c>
      <c r="I188" t="s">
        <v>22</v>
      </c>
      <c r="J188" t="s">
        <v>91</v>
      </c>
      <c r="K188" t="s">
        <v>97</v>
      </c>
      <c r="L188" s="5">
        <v>45772</v>
      </c>
      <c r="M188" s="7">
        <v>0.47916666666666669</v>
      </c>
      <c r="N188" s="7">
        <v>0.56944444444444442</v>
      </c>
      <c r="O188" t="s">
        <v>137</v>
      </c>
      <c r="P188" t="s">
        <v>93</v>
      </c>
      <c r="Q188">
        <v>110</v>
      </c>
      <c r="R188">
        <v>8.6</v>
      </c>
      <c r="S188" t="s">
        <v>94</v>
      </c>
      <c r="T188">
        <v>0</v>
      </c>
      <c r="U188" t="s">
        <v>95</v>
      </c>
      <c r="V188" t="s">
        <v>103</v>
      </c>
      <c r="W188">
        <v>1500</v>
      </c>
    </row>
    <row r="189" spans="1:23" x14ac:dyDescent="0.35">
      <c r="A189" t="s">
        <v>406</v>
      </c>
      <c r="B189" t="s">
        <v>139</v>
      </c>
      <c r="C189">
        <v>26</v>
      </c>
      <c r="D189" t="s">
        <v>18</v>
      </c>
      <c r="E189" t="s">
        <v>19</v>
      </c>
      <c r="F189" t="s">
        <v>140</v>
      </c>
      <c r="G189" t="s">
        <v>13</v>
      </c>
      <c r="H189" t="s">
        <v>57</v>
      </c>
      <c r="I189" t="s">
        <v>39</v>
      </c>
      <c r="J189" t="s">
        <v>121</v>
      </c>
      <c r="K189" t="s">
        <v>113</v>
      </c>
      <c r="L189" s="5">
        <v>45772</v>
      </c>
      <c r="M189" s="7">
        <v>0.66666666666666663</v>
      </c>
      <c r="N189" s="7">
        <v>0.76736111111111116</v>
      </c>
      <c r="O189" t="s">
        <v>141</v>
      </c>
      <c r="P189" t="s">
        <v>93</v>
      </c>
      <c r="Q189">
        <v>140</v>
      </c>
      <c r="R189">
        <v>11.2</v>
      </c>
      <c r="S189" t="s">
        <v>101</v>
      </c>
      <c r="T189">
        <v>20</v>
      </c>
      <c r="U189" t="s">
        <v>95</v>
      </c>
      <c r="V189" t="s">
        <v>96</v>
      </c>
      <c r="W189">
        <v>2700</v>
      </c>
    </row>
    <row r="190" spans="1:23" x14ac:dyDescent="0.35">
      <c r="A190" t="s">
        <v>407</v>
      </c>
      <c r="B190" t="s">
        <v>143</v>
      </c>
      <c r="C190">
        <v>50</v>
      </c>
      <c r="D190" t="s">
        <v>11</v>
      </c>
      <c r="E190" t="s">
        <v>26</v>
      </c>
      <c r="F190" t="s">
        <v>144</v>
      </c>
      <c r="G190" t="s">
        <v>21</v>
      </c>
      <c r="H190" t="s">
        <v>14</v>
      </c>
      <c r="I190" t="s">
        <v>34</v>
      </c>
      <c r="J190" t="s">
        <v>90</v>
      </c>
      <c r="K190" t="s">
        <v>109</v>
      </c>
      <c r="L190" s="5">
        <v>45773</v>
      </c>
      <c r="M190" s="7">
        <v>0.88194444444444442</v>
      </c>
      <c r="N190" s="7">
        <v>0.2013888888888889</v>
      </c>
      <c r="O190" t="s">
        <v>145</v>
      </c>
      <c r="P190" t="s">
        <v>100</v>
      </c>
      <c r="Q190">
        <v>1450</v>
      </c>
      <c r="R190">
        <v>25.9</v>
      </c>
      <c r="S190" t="s">
        <v>94</v>
      </c>
      <c r="T190">
        <v>0</v>
      </c>
      <c r="U190" t="s">
        <v>107</v>
      </c>
      <c r="V190" t="s">
        <v>125</v>
      </c>
      <c r="W190">
        <v>11800</v>
      </c>
    </row>
    <row r="191" spans="1:23" x14ac:dyDescent="0.35">
      <c r="A191" t="s">
        <v>408</v>
      </c>
      <c r="B191" t="s">
        <v>222</v>
      </c>
      <c r="C191">
        <v>31</v>
      </c>
      <c r="D191" t="s">
        <v>18</v>
      </c>
      <c r="E191" t="s">
        <v>31</v>
      </c>
      <c r="F191" t="s">
        <v>148</v>
      </c>
      <c r="G191" t="s">
        <v>21</v>
      </c>
      <c r="H191" t="s">
        <v>15</v>
      </c>
      <c r="I191" t="s">
        <v>23</v>
      </c>
      <c r="J191" t="s">
        <v>91</v>
      </c>
      <c r="K191" t="s">
        <v>98</v>
      </c>
      <c r="L191" s="5">
        <v>45773</v>
      </c>
      <c r="M191" s="7">
        <v>0.18402777777777779</v>
      </c>
      <c r="N191" s="7">
        <v>0.33333333333333331</v>
      </c>
      <c r="O191" t="s">
        <v>149</v>
      </c>
      <c r="P191" t="s">
        <v>93</v>
      </c>
      <c r="Q191">
        <v>330</v>
      </c>
      <c r="R191">
        <v>13.5</v>
      </c>
      <c r="S191" t="s">
        <v>111</v>
      </c>
      <c r="T191">
        <v>0</v>
      </c>
      <c r="U191" t="s">
        <v>102</v>
      </c>
      <c r="V191" t="s">
        <v>112</v>
      </c>
      <c r="W191">
        <v>2100</v>
      </c>
    </row>
    <row r="192" spans="1:23" x14ac:dyDescent="0.35">
      <c r="A192" t="s">
        <v>409</v>
      </c>
      <c r="B192" t="s">
        <v>224</v>
      </c>
      <c r="C192">
        <v>44</v>
      </c>
      <c r="D192" t="s">
        <v>11</v>
      </c>
      <c r="E192" t="s">
        <v>12</v>
      </c>
      <c r="F192" s="3" t="s">
        <v>225</v>
      </c>
      <c r="G192" t="s">
        <v>13</v>
      </c>
      <c r="H192" t="s">
        <v>22</v>
      </c>
      <c r="I192" t="s">
        <v>57</v>
      </c>
      <c r="J192" t="s">
        <v>97</v>
      </c>
      <c r="K192" t="s">
        <v>121</v>
      </c>
      <c r="L192" s="5">
        <v>45774</v>
      </c>
      <c r="M192" s="7">
        <v>0.38194444444444442</v>
      </c>
      <c r="N192" s="7">
        <v>0.4861111111111111</v>
      </c>
      <c r="O192" t="s">
        <v>226</v>
      </c>
      <c r="P192" t="s">
        <v>93</v>
      </c>
      <c r="Q192">
        <v>125</v>
      </c>
      <c r="R192">
        <v>12</v>
      </c>
      <c r="S192" t="s">
        <v>94</v>
      </c>
      <c r="T192">
        <v>0</v>
      </c>
      <c r="U192" t="s">
        <v>95</v>
      </c>
      <c r="V192" t="s">
        <v>103</v>
      </c>
      <c r="W192">
        <v>2100</v>
      </c>
    </row>
    <row r="193" spans="1:23" x14ac:dyDescent="0.35">
      <c r="A193" t="s">
        <v>410</v>
      </c>
      <c r="B193" t="s">
        <v>30</v>
      </c>
      <c r="C193">
        <v>25</v>
      </c>
      <c r="D193" t="s">
        <v>18</v>
      </c>
      <c r="E193" t="s">
        <v>19</v>
      </c>
      <c r="F193" t="s">
        <v>20</v>
      </c>
      <c r="G193" t="s">
        <v>21</v>
      </c>
      <c r="H193" t="s">
        <v>15</v>
      </c>
      <c r="I193" t="s">
        <v>28</v>
      </c>
      <c r="J193" t="s">
        <v>91</v>
      </c>
      <c r="K193" t="s">
        <v>104</v>
      </c>
      <c r="L193" s="5">
        <v>45774</v>
      </c>
      <c r="M193" s="7">
        <v>5.2083333333333336E-2</v>
      </c>
      <c r="N193" s="7">
        <v>0.40972222222222221</v>
      </c>
      <c r="O193" t="s">
        <v>99</v>
      </c>
      <c r="P193" t="s">
        <v>100</v>
      </c>
      <c r="Q193">
        <v>860</v>
      </c>
      <c r="R193">
        <v>24</v>
      </c>
      <c r="S193" t="s">
        <v>101</v>
      </c>
      <c r="T193">
        <v>50</v>
      </c>
      <c r="U193" t="s">
        <v>102</v>
      </c>
      <c r="V193" t="s">
        <v>96</v>
      </c>
      <c r="W193">
        <v>8400</v>
      </c>
    </row>
    <row r="194" spans="1:23" x14ac:dyDescent="0.35">
      <c r="A194" t="s">
        <v>411</v>
      </c>
      <c r="B194" t="s">
        <v>197</v>
      </c>
      <c r="C194">
        <v>38</v>
      </c>
      <c r="D194" t="s">
        <v>11</v>
      </c>
      <c r="E194" t="s">
        <v>37</v>
      </c>
      <c r="F194" t="s">
        <v>38</v>
      </c>
      <c r="G194" t="s">
        <v>21</v>
      </c>
      <c r="H194" t="s">
        <v>39</v>
      </c>
      <c r="I194" t="s">
        <v>40</v>
      </c>
      <c r="J194" t="s">
        <v>113</v>
      </c>
      <c r="K194" t="s">
        <v>114</v>
      </c>
      <c r="L194" s="5">
        <v>45775</v>
      </c>
      <c r="M194" s="7">
        <v>0.91666666666666663</v>
      </c>
      <c r="N194" s="7">
        <v>0.57291666666666663</v>
      </c>
      <c r="O194" t="s">
        <v>115</v>
      </c>
      <c r="P194" t="s">
        <v>100</v>
      </c>
      <c r="Q194">
        <v>1980</v>
      </c>
      <c r="R194">
        <v>27.5</v>
      </c>
      <c r="S194" t="s">
        <v>94</v>
      </c>
      <c r="T194">
        <v>0</v>
      </c>
      <c r="U194" t="s">
        <v>102</v>
      </c>
      <c r="V194" t="s">
        <v>103</v>
      </c>
      <c r="W194">
        <v>9700</v>
      </c>
    </row>
    <row r="195" spans="1:23" x14ac:dyDescent="0.35">
      <c r="A195" t="s">
        <v>412</v>
      </c>
      <c r="B195" t="s">
        <v>42</v>
      </c>
      <c r="C195">
        <v>31</v>
      </c>
      <c r="D195" t="s">
        <v>18</v>
      </c>
      <c r="E195" t="s">
        <v>43</v>
      </c>
      <c r="F195" t="s">
        <v>44</v>
      </c>
      <c r="G195" t="s">
        <v>21</v>
      </c>
      <c r="H195" t="s">
        <v>15</v>
      </c>
      <c r="I195" t="s">
        <v>45</v>
      </c>
      <c r="J195" t="s">
        <v>91</v>
      </c>
      <c r="K195" t="s">
        <v>116</v>
      </c>
      <c r="L195" s="5">
        <v>45775</v>
      </c>
      <c r="M195" s="7">
        <v>0.15625</v>
      </c>
      <c r="N195" s="7">
        <v>0.47222222222222221</v>
      </c>
      <c r="O195" t="s">
        <v>117</v>
      </c>
      <c r="P195" t="s">
        <v>118</v>
      </c>
      <c r="Q195">
        <v>980</v>
      </c>
      <c r="R195">
        <v>19.3</v>
      </c>
      <c r="S195" t="s">
        <v>94</v>
      </c>
      <c r="T195">
        <v>0</v>
      </c>
      <c r="U195" t="s">
        <v>95</v>
      </c>
      <c r="V195" t="s">
        <v>96</v>
      </c>
      <c r="W195">
        <v>5400</v>
      </c>
    </row>
    <row r="196" spans="1:23" x14ac:dyDescent="0.35">
      <c r="A196" t="s">
        <v>413</v>
      </c>
      <c r="B196" t="s">
        <v>231</v>
      </c>
      <c r="C196">
        <v>35</v>
      </c>
      <c r="D196" t="s">
        <v>11</v>
      </c>
      <c r="E196" t="s">
        <v>26</v>
      </c>
      <c r="F196" t="s">
        <v>232</v>
      </c>
      <c r="G196" t="s">
        <v>21</v>
      </c>
      <c r="H196" t="s">
        <v>22</v>
      </c>
      <c r="I196" t="s">
        <v>28</v>
      </c>
      <c r="J196" t="s">
        <v>97</v>
      </c>
      <c r="K196" t="s">
        <v>104</v>
      </c>
      <c r="L196" s="5">
        <v>45776</v>
      </c>
      <c r="M196" s="7">
        <v>9.0277777777777776E-2</v>
      </c>
      <c r="N196" s="7">
        <v>0.36805555555555558</v>
      </c>
      <c r="O196" t="s">
        <v>119</v>
      </c>
      <c r="P196" t="s">
        <v>100</v>
      </c>
      <c r="Q196">
        <v>1800</v>
      </c>
      <c r="R196">
        <v>26.5</v>
      </c>
      <c r="S196" t="s">
        <v>94</v>
      </c>
      <c r="T196">
        <v>0</v>
      </c>
      <c r="U196" t="s">
        <v>107</v>
      </c>
      <c r="V196" t="s">
        <v>103</v>
      </c>
      <c r="W196">
        <v>12000</v>
      </c>
    </row>
    <row r="197" spans="1:23" x14ac:dyDescent="0.35">
      <c r="A197" t="s">
        <v>414</v>
      </c>
      <c r="B197" t="s">
        <v>234</v>
      </c>
      <c r="C197">
        <v>28</v>
      </c>
      <c r="D197" t="s">
        <v>18</v>
      </c>
      <c r="E197" t="s">
        <v>12</v>
      </c>
      <c r="F197" s="3" t="s">
        <v>235</v>
      </c>
      <c r="G197" t="s">
        <v>13</v>
      </c>
      <c r="H197" t="s">
        <v>14</v>
      </c>
      <c r="I197" t="s">
        <v>15</v>
      </c>
      <c r="J197" t="s">
        <v>90</v>
      </c>
      <c r="K197" t="s">
        <v>91</v>
      </c>
      <c r="L197" s="5">
        <v>45776</v>
      </c>
      <c r="M197" s="7">
        <v>0.28125</v>
      </c>
      <c r="N197" s="7">
        <v>0.3888888888888889</v>
      </c>
      <c r="O197" t="s">
        <v>236</v>
      </c>
      <c r="P197" t="s">
        <v>93</v>
      </c>
      <c r="Q197">
        <v>150</v>
      </c>
      <c r="R197">
        <v>11.2</v>
      </c>
      <c r="S197" t="s">
        <v>101</v>
      </c>
      <c r="T197">
        <v>30</v>
      </c>
      <c r="U197" t="s">
        <v>102</v>
      </c>
      <c r="V197" t="s">
        <v>96</v>
      </c>
      <c r="W197">
        <v>3200</v>
      </c>
    </row>
    <row r="198" spans="1:23" x14ac:dyDescent="0.35">
      <c r="A198" t="s">
        <v>415</v>
      </c>
      <c r="B198" t="s">
        <v>25</v>
      </c>
      <c r="C198">
        <v>41</v>
      </c>
      <c r="D198" t="s">
        <v>11</v>
      </c>
      <c r="E198" t="s">
        <v>26</v>
      </c>
      <c r="F198" t="s">
        <v>27</v>
      </c>
      <c r="G198" t="s">
        <v>21</v>
      </c>
      <c r="H198" t="s">
        <v>15</v>
      </c>
      <c r="I198" t="s">
        <v>28</v>
      </c>
      <c r="J198" t="s">
        <v>91</v>
      </c>
      <c r="K198" t="s">
        <v>104</v>
      </c>
      <c r="L198" s="5">
        <v>45777</v>
      </c>
      <c r="M198" s="7">
        <v>5.5555555555555552E-2</v>
      </c>
      <c r="N198" s="7">
        <v>0.41319444444444442</v>
      </c>
      <c r="O198" t="s">
        <v>105</v>
      </c>
      <c r="P198" t="s">
        <v>106</v>
      </c>
      <c r="Q198">
        <v>2450</v>
      </c>
      <c r="R198">
        <v>30.2</v>
      </c>
      <c r="S198" t="s">
        <v>94</v>
      </c>
      <c r="T198">
        <v>0</v>
      </c>
      <c r="U198" t="s">
        <v>107</v>
      </c>
      <c r="V198" t="s">
        <v>103</v>
      </c>
      <c r="W198">
        <v>13200</v>
      </c>
    </row>
    <row r="199" spans="1:23" x14ac:dyDescent="0.35">
      <c r="A199" t="s">
        <v>416</v>
      </c>
      <c r="B199" t="s">
        <v>30</v>
      </c>
      <c r="C199">
        <v>25</v>
      </c>
      <c r="D199" t="s">
        <v>18</v>
      </c>
      <c r="E199" t="s">
        <v>31</v>
      </c>
      <c r="F199" t="s">
        <v>32</v>
      </c>
      <c r="G199" t="s">
        <v>21</v>
      </c>
      <c r="H199" t="s">
        <v>33</v>
      </c>
      <c r="I199" t="s">
        <v>34</v>
      </c>
      <c r="J199" t="s">
        <v>108</v>
      </c>
      <c r="K199" t="s">
        <v>109</v>
      </c>
      <c r="L199" s="5">
        <v>45777</v>
      </c>
      <c r="M199" s="7">
        <v>0.34027777777777779</v>
      </c>
      <c r="N199" s="7">
        <v>0.58333333333333337</v>
      </c>
      <c r="O199" t="s">
        <v>110</v>
      </c>
      <c r="P199" t="s">
        <v>93</v>
      </c>
      <c r="Q199">
        <v>420</v>
      </c>
      <c r="R199">
        <v>15.6</v>
      </c>
      <c r="S199" t="s">
        <v>111</v>
      </c>
      <c r="T199">
        <v>0</v>
      </c>
      <c r="U199" t="s">
        <v>95</v>
      </c>
      <c r="V199" t="s">
        <v>112</v>
      </c>
      <c r="W199">
        <v>3500</v>
      </c>
    </row>
    <row r="200" spans="1:23" x14ac:dyDescent="0.35">
      <c r="A200" t="s">
        <v>417</v>
      </c>
      <c r="B200" t="s">
        <v>36</v>
      </c>
      <c r="C200">
        <v>38</v>
      </c>
      <c r="D200" t="s">
        <v>11</v>
      </c>
      <c r="E200" t="s">
        <v>37</v>
      </c>
      <c r="F200" t="s">
        <v>38</v>
      </c>
      <c r="G200" t="s">
        <v>21</v>
      </c>
      <c r="H200" t="s">
        <v>39</v>
      </c>
      <c r="I200" t="s">
        <v>40</v>
      </c>
      <c r="J200" t="s">
        <v>113</v>
      </c>
      <c r="K200" t="s">
        <v>114</v>
      </c>
      <c r="L200" s="5">
        <v>45778</v>
      </c>
      <c r="M200" s="7">
        <v>0.91666666666666663</v>
      </c>
      <c r="N200" s="7">
        <v>0.57291666666666663</v>
      </c>
      <c r="O200" t="s">
        <v>115</v>
      </c>
      <c r="P200" t="s">
        <v>100</v>
      </c>
      <c r="Q200">
        <v>1980</v>
      </c>
      <c r="R200">
        <v>27.5</v>
      </c>
      <c r="S200" t="s">
        <v>94</v>
      </c>
      <c r="T200">
        <v>0</v>
      </c>
      <c r="U200" t="s">
        <v>102</v>
      </c>
      <c r="V200" t="s">
        <v>103</v>
      </c>
      <c r="W200">
        <v>9700</v>
      </c>
    </row>
    <row r="201" spans="1:23" x14ac:dyDescent="0.35">
      <c r="A201" t="s">
        <v>418</v>
      </c>
      <c r="B201" t="s">
        <v>42</v>
      </c>
      <c r="C201">
        <v>31</v>
      </c>
      <c r="D201" t="s">
        <v>18</v>
      </c>
      <c r="E201" t="s">
        <v>43</v>
      </c>
      <c r="F201" t="s">
        <v>44</v>
      </c>
      <c r="G201" t="s">
        <v>21</v>
      </c>
      <c r="H201" t="s">
        <v>15</v>
      </c>
      <c r="I201" t="s">
        <v>45</v>
      </c>
      <c r="J201" t="s">
        <v>91</v>
      </c>
      <c r="K201" t="s">
        <v>116</v>
      </c>
      <c r="L201" s="5">
        <v>45778</v>
      </c>
      <c r="M201" s="7">
        <v>0.15625</v>
      </c>
      <c r="N201" s="7">
        <v>0.47222222222222221</v>
      </c>
      <c r="O201" t="s">
        <v>117</v>
      </c>
      <c r="P201" t="s">
        <v>118</v>
      </c>
      <c r="Q201">
        <v>980</v>
      </c>
      <c r="R201">
        <v>19.3</v>
      </c>
      <c r="S201" t="s">
        <v>101</v>
      </c>
      <c r="T201">
        <v>35</v>
      </c>
      <c r="U201" t="s">
        <v>95</v>
      </c>
      <c r="V201" t="s">
        <v>96</v>
      </c>
      <c r="W201">
        <v>5400</v>
      </c>
    </row>
    <row r="202" spans="1:23" x14ac:dyDescent="0.35">
      <c r="A202" t="s">
        <v>419</v>
      </c>
      <c r="B202" t="s">
        <v>25</v>
      </c>
      <c r="C202">
        <v>41</v>
      </c>
      <c r="D202" t="s">
        <v>11</v>
      </c>
      <c r="E202" t="s">
        <v>26</v>
      </c>
      <c r="F202" t="s">
        <v>27</v>
      </c>
      <c r="G202" t="s">
        <v>21</v>
      </c>
      <c r="H202" t="s">
        <v>15</v>
      </c>
      <c r="I202" t="s">
        <v>28</v>
      </c>
      <c r="J202" t="s">
        <v>91</v>
      </c>
      <c r="K202" t="s">
        <v>104</v>
      </c>
      <c r="L202" s="5">
        <v>45779</v>
      </c>
      <c r="M202" s="7">
        <v>5.5555555555555552E-2</v>
      </c>
      <c r="N202" s="7">
        <v>0.41319444444444442</v>
      </c>
      <c r="O202" t="s">
        <v>105</v>
      </c>
      <c r="P202" t="s">
        <v>106</v>
      </c>
      <c r="Q202">
        <v>2450</v>
      </c>
      <c r="R202">
        <v>30.2</v>
      </c>
      <c r="S202" t="s">
        <v>94</v>
      </c>
      <c r="T202">
        <v>0</v>
      </c>
      <c r="U202" t="s">
        <v>107</v>
      </c>
      <c r="V202" t="s">
        <v>103</v>
      </c>
      <c r="W202">
        <v>13200</v>
      </c>
    </row>
    <row r="203" spans="1:23" x14ac:dyDescent="0.35">
      <c r="A203" t="s">
        <v>420</v>
      </c>
      <c r="B203" t="s">
        <v>30</v>
      </c>
      <c r="C203">
        <v>25</v>
      </c>
      <c r="D203" t="s">
        <v>18</v>
      </c>
      <c r="E203" t="s">
        <v>31</v>
      </c>
      <c r="F203" t="s">
        <v>32</v>
      </c>
      <c r="G203" t="s">
        <v>21</v>
      </c>
      <c r="H203" t="s">
        <v>33</v>
      </c>
      <c r="I203" t="s">
        <v>34</v>
      </c>
      <c r="J203" t="s">
        <v>108</v>
      </c>
      <c r="K203" t="s">
        <v>109</v>
      </c>
      <c r="L203" s="5">
        <v>45779</v>
      </c>
      <c r="M203" s="7">
        <v>0.34027777777777779</v>
      </c>
      <c r="N203" s="7">
        <v>0.58333333333333337</v>
      </c>
      <c r="O203" t="s">
        <v>110</v>
      </c>
      <c r="P203" t="s">
        <v>93</v>
      </c>
      <c r="Q203">
        <v>420</v>
      </c>
      <c r="R203">
        <v>15.6</v>
      </c>
      <c r="S203" t="s">
        <v>111</v>
      </c>
      <c r="T203">
        <v>0</v>
      </c>
      <c r="U203" t="s">
        <v>95</v>
      </c>
      <c r="V203" t="s">
        <v>112</v>
      </c>
      <c r="W203">
        <v>3500</v>
      </c>
    </row>
    <row r="204" spans="1:23" x14ac:dyDescent="0.35">
      <c r="A204" t="s">
        <v>421</v>
      </c>
      <c r="B204" t="s">
        <v>36</v>
      </c>
      <c r="C204">
        <v>38</v>
      </c>
      <c r="D204" t="s">
        <v>11</v>
      </c>
      <c r="E204" t="s">
        <v>37</v>
      </c>
      <c r="F204" t="s">
        <v>38</v>
      </c>
      <c r="G204" t="s">
        <v>21</v>
      </c>
      <c r="H204" t="s">
        <v>39</v>
      </c>
      <c r="I204" t="s">
        <v>40</v>
      </c>
      <c r="J204" t="s">
        <v>113</v>
      </c>
      <c r="K204" t="s">
        <v>114</v>
      </c>
      <c r="L204" s="5">
        <v>45780</v>
      </c>
      <c r="M204" s="7">
        <v>0.91666666666666663</v>
      </c>
      <c r="N204" s="7">
        <v>0.57291666666666663</v>
      </c>
      <c r="O204" t="s">
        <v>115</v>
      </c>
      <c r="P204" t="s">
        <v>100</v>
      </c>
      <c r="Q204">
        <v>1980</v>
      </c>
      <c r="R204">
        <v>27.5</v>
      </c>
      <c r="S204" t="s">
        <v>94</v>
      </c>
      <c r="T204">
        <v>0</v>
      </c>
      <c r="U204" t="s">
        <v>102</v>
      </c>
      <c r="V204" t="s">
        <v>103</v>
      </c>
      <c r="W204">
        <v>9700</v>
      </c>
    </row>
    <row r="205" spans="1:23" x14ac:dyDescent="0.35">
      <c r="A205" t="s">
        <v>422</v>
      </c>
      <c r="B205" t="s">
        <v>42</v>
      </c>
      <c r="C205">
        <v>31</v>
      </c>
      <c r="D205" t="s">
        <v>18</v>
      </c>
      <c r="E205" t="s">
        <v>43</v>
      </c>
      <c r="F205" t="s">
        <v>44</v>
      </c>
      <c r="G205" t="s">
        <v>21</v>
      </c>
      <c r="H205" t="s">
        <v>15</v>
      </c>
      <c r="I205" t="s">
        <v>45</v>
      </c>
      <c r="J205" t="s">
        <v>91</v>
      </c>
      <c r="K205" t="s">
        <v>116</v>
      </c>
      <c r="L205" s="5">
        <v>45780</v>
      </c>
      <c r="M205" s="7">
        <v>0.15625</v>
      </c>
      <c r="N205" s="7">
        <v>0.47222222222222221</v>
      </c>
      <c r="O205" t="s">
        <v>117</v>
      </c>
      <c r="P205" t="s">
        <v>118</v>
      </c>
      <c r="Q205">
        <v>980</v>
      </c>
      <c r="R205">
        <v>19.3</v>
      </c>
      <c r="S205" t="s">
        <v>101</v>
      </c>
      <c r="T205">
        <v>35</v>
      </c>
      <c r="U205" t="s">
        <v>95</v>
      </c>
      <c r="V205" t="s">
        <v>96</v>
      </c>
      <c r="W205">
        <v>5400</v>
      </c>
    </row>
    <row r="206" spans="1:23" x14ac:dyDescent="0.35">
      <c r="A206" t="s">
        <v>423</v>
      </c>
      <c r="B206" t="s">
        <v>47</v>
      </c>
      <c r="C206">
        <v>45</v>
      </c>
      <c r="D206" t="s">
        <v>11</v>
      </c>
      <c r="E206" t="s">
        <v>48</v>
      </c>
      <c r="F206" t="s">
        <v>49</v>
      </c>
      <c r="G206" t="s">
        <v>21</v>
      </c>
      <c r="H206" t="s">
        <v>14</v>
      </c>
      <c r="I206" t="s">
        <v>28</v>
      </c>
      <c r="J206" t="s">
        <v>90</v>
      </c>
      <c r="K206" t="s">
        <v>104</v>
      </c>
      <c r="L206" s="5">
        <v>45781</v>
      </c>
      <c r="M206" s="7">
        <v>0.42708333333333331</v>
      </c>
      <c r="N206" s="7">
        <v>0.77083333333333337</v>
      </c>
      <c r="O206" t="s">
        <v>119</v>
      </c>
      <c r="P206" t="s">
        <v>100</v>
      </c>
      <c r="Q206">
        <v>1650</v>
      </c>
      <c r="R206">
        <v>26.8</v>
      </c>
      <c r="S206" t="s">
        <v>94</v>
      </c>
      <c r="T206">
        <v>0</v>
      </c>
      <c r="U206" t="s">
        <v>107</v>
      </c>
      <c r="V206" t="s">
        <v>103</v>
      </c>
      <c r="W206">
        <v>11000</v>
      </c>
    </row>
    <row r="207" spans="1:23" x14ac:dyDescent="0.35">
      <c r="A207" t="s">
        <v>424</v>
      </c>
      <c r="B207" t="s">
        <v>51</v>
      </c>
      <c r="C207">
        <v>27</v>
      </c>
      <c r="D207" t="s">
        <v>18</v>
      </c>
      <c r="E207" t="s">
        <v>52</v>
      </c>
      <c r="F207" t="s">
        <v>53</v>
      </c>
      <c r="G207" t="s">
        <v>21</v>
      </c>
      <c r="H207" t="s">
        <v>22</v>
      </c>
      <c r="I207" t="s">
        <v>40</v>
      </c>
      <c r="J207" t="s">
        <v>97</v>
      </c>
      <c r="K207" t="s">
        <v>114</v>
      </c>
      <c r="L207" s="5">
        <v>45781</v>
      </c>
      <c r="M207" s="7">
        <v>0.24305555555555555</v>
      </c>
      <c r="N207" s="7">
        <v>0.72222222222222221</v>
      </c>
      <c r="O207" t="s">
        <v>120</v>
      </c>
      <c r="P207" t="s">
        <v>93</v>
      </c>
      <c r="Q207">
        <v>740</v>
      </c>
      <c r="R207">
        <v>17.2</v>
      </c>
      <c r="S207" t="s">
        <v>111</v>
      </c>
      <c r="T207">
        <v>0</v>
      </c>
      <c r="U207" t="s">
        <v>95</v>
      </c>
      <c r="V207" t="s">
        <v>96</v>
      </c>
      <c r="W207">
        <v>4100</v>
      </c>
    </row>
    <row r="208" spans="1:23" x14ac:dyDescent="0.35">
      <c r="A208" t="s">
        <v>425</v>
      </c>
      <c r="B208" t="s">
        <v>55</v>
      </c>
      <c r="C208">
        <v>36</v>
      </c>
      <c r="D208" t="s">
        <v>11</v>
      </c>
      <c r="E208" t="s">
        <v>12</v>
      </c>
      <c r="F208" s="3" t="s">
        <v>56</v>
      </c>
      <c r="G208" t="s">
        <v>13</v>
      </c>
      <c r="H208" t="s">
        <v>57</v>
      </c>
      <c r="I208" t="s">
        <v>33</v>
      </c>
      <c r="J208" t="s">
        <v>121</v>
      </c>
      <c r="K208" t="s">
        <v>108</v>
      </c>
      <c r="L208" s="5">
        <v>45782</v>
      </c>
      <c r="M208" s="7">
        <v>0.60069444444444442</v>
      </c>
      <c r="N208" s="7">
        <v>0.71527777777777779</v>
      </c>
      <c r="O208" t="s">
        <v>122</v>
      </c>
      <c r="P208" t="s">
        <v>93</v>
      </c>
      <c r="Q208">
        <v>125</v>
      </c>
      <c r="R208">
        <v>12</v>
      </c>
      <c r="S208" t="s">
        <v>94</v>
      </c>
      <c r="T208">
        <v>0</v>
      </c>
      <c r="U208" t="s">
        <v>102</v>
      </c>
      <c r="V208" t="s">
        <v>103</v>
      </c>
      <c r="W208">
        <v>1800</v>
      </c>
    </row>
    <row r="209" spans="1:23" x14ac:dyDescent="0.35">
      <c r="A209" t="s">
        <v>426</v>
      </c>
      <c r="B209" t="s">
        <v>59</v>
      </c>
      <c r="C209">
        <v>30</v>
      </c>
      <c r="D209" t="s">
        <v>18</v>
      </c>
      <c r="E209" t="s">
        <v>19</v>
      </c>
      <c r="F209" t="s">
        <v>60</v>
      </c>
      <c r="G209" t="s">
        <v>13</v>
      </c>
      <c r="H209" t="s">
        <v>15</v>
      </c>
      <c r="I209" t="s">
        <v>14</v>
      </c>
      <c r="J209" t="s">
        <v>91</v>
      </c>
      <c r="K209" t="s">
        <v>90</v>
      </c>
      <c r="L209" s="5">
        <v>45782</v>
      </c>
      <c r="M209" s="7">
        <v>0.40277777777777779</v>
      </c>
      <c r="N209" s="7">
        <v>0.51736111111111116</v>
      </c>
      <c r="O209" t="s">
        <v>123</v>
      </c>
      <c r="P209" t="s">
        <v>118</v>
      </c>
      <c r="Q209">
        <v>310</v>
      </c>
      <c r="R209">
        <v>20.5</v>
      </c>
      <c r="S209" t="s">
        <v>101</v>
      </c>
      <c r="T209">
        <v>35</v>
      </c>
      <c r="U209" t="s">
        <v>95</v>
      </c>
      <c r="V209" t="s">
        <v>96</v>
      </c>
      <c r="W209">
        <v>6200</v>
      </c>
    </row>
    <row r="210" spans="1:23" x14ac:dyDescent="0.35">
      <c r="A210" t="s">
        <v>427</v>
      </c>
      <c r="B210" t="s">
        <v>62</v>
      </c>
      <c r="C210">
        <v>52</v>
      </c>
      <c r="D210" t="s">
        <v>11</v>
      </c>
      <c r="E210" t="s">
        <v>26</v>
      </c>
      <c r="F210" t="s">
        <v>63</v>
      </c>
      <c r="G210" t="s">
        <v>21</v>
      </c>
      <c r="H210" t="s">
        <v>22</v>
      </c>
      <c r="I210" t="s">
        <v>23</v>
      </c>
      <c r="J210" t="s">
        <v>97</v>
      </c>
      <c r="K210" t="s">
        <v>98</v>
      </c>
      <c r="L210" s="5">
        <v>45783</v>
      </c>
      <c r="M210" s="7">
        <v>0.96875</v>
      </c>
      <c r="N210" s="7">
        <v>0.12152777777777778</v>
      </c>
      <c r="O210" t="s">
        <v>124</v>
      </c>
      <c r="P210" t="s">
        <v>100</v>
      </c>
      <c r="Q210">
        <v>1200</v>
      </c>
      <c r="R210">
        <v>28</v>
      </c>
      <c r="S210" t="s">
        <v>94</v>
      </c>
      <c r="T210">
        <v>0</v>
      </c>
      <c r="U210" t="s">
        <v>107</v>
      </c>
      <c r="V210" t="s">
        <v>125</v>
      </c>
      <c r="W210">
        <v>14000</v>
      </c>
    </row>
    <row r="211" spans="1:23" x14ac:dyDescent="0.35">
      <c r="A211" t="s">
        <v>428</v>
      </c>
      <c r="B211" t="s">
        <v>65</v>
      </c>
      <c r="C211">
        <v>24</v>
      </c>
      <c r="D211" t="s">
        <v>18</v>
      </c>
      <c r="E211" t="s">
        <v>12</v>
      </c>
      <c r="F211" s="3" t="s">
        <v>66</v>
      </c>
      <c r="G211" t="s">
        <v>13</v>
      </c>
      <c r="H211" t="s">
        <v>39</v>
      </c>
      <c r="I211" t="s">
        <v>15</v>
      </c>
      <c r="J211" t="s">
        <v>113</v>
      </c>
      <c r="K211" t="s">
        <v>91</v>
      </c>
      <c r="L211" s="5">
        <v>45783</v>
      </c>
      <c r="M211" s="7">
        <v>0.25694444444444442</v>
      </c>
      <c r="N211" s="7">
        <v>0.3611111111111111</v>
      </c>
      <c r="O211" t="s">
        <v>126</v>
      </c>
      <c r="P211" t="s">
        <v>93</v>
      </c>
      <c r="Q211">
        <v>160</v>
      </c>
      <c r="R211">
        <v>10.4</v>
      </c>
      <c r="S211" t="s">
        <v>111</v>
      </c>
      <c r="T211">
        <v>0</v>
      </c>
      <c r="U211" t="s">
        <v>102</v>
      </c>
      <c r="V211" t="s">
        <v>112</v>
      </c>
      <c r="W211">
        <v>900</v>
      </c>
    </row>
    <row r="212" spans="1:23" x14ac:dyDescent="0.35">
      <c r="A212" t="s">
        <v>429</v>
      </c>
      <c r="B212" t="s">
        <v>68</v>
      </c>
      <c r="C212">
        <v>40</v>
      </c>
      <c r="D212" t="s">
        <v>11</v>
      </c>
      <c r="E212" t="s">
        <v>37</v>
      </c>
      <c r="F212" t="s">
        <v>69</v>
      </c>
      <c r="G212" t="s">
        <v>21</v>
      </c>
      <c r="H212" t="s">
        <v>33</v>
      </c>
      <c r="I212" t="s">
        <v>34</v>
      </c>
      <c r="J212" t="s">
        <v>108</v>
      </c>
      <c r="K212" t="s">
        <v>109</v>
      </c>
      <c r="L212" s="5">
        <v>45784</v>
      </c>
      <c r="M212" s="7">
        <v>0.84722222222222221</v>
      </c>
      <c r="N212" s="7">
        <v>9.0277777777777776E-2</v>
      </c>
      <c r="O212" t="s">
        <v>127</v>
      </c>
      <c r="P212" t="s">
        <v>100</v>
      </c>
      <c r="Q212">
        <v>1340</v>
      </c>
      <c r="R212">
        <v>22.6</v>
      </c>
      <c r="S212" t="s">
        <v>94</v>
      </c>
      <c r="T212">
        <v>0</v>
      </c>
      <c r="U212" t="s">
        <v>95</v>
      </c>
      <c r="V212" t="s">
        <v>103</v>
      </c>
      <c r="W212">
        <v>8700</v>
      </c>
    </row>
    <row r="213" spans="1:23" x14ac:dyDescent="0.35">
      <c r="A213" t="s">
        <v>430</v>
      </c>
      <c r="B213" t="s">
        <v>71</v>
      </c>
      <c r="C213">
        <v>33</v>
      </c>
      <c r="D213" t="s">
        <v>18</v>
      </c>
      <c r="E213" t="s">
        <v>43</v>
      </c>
      <c r="F213" t="s">
        <v>72</v>
      </c>
      <c r="G213" t="s">
        <v>21</v>
      </c>
      <c r="H213" t="s">
        <v>15</v>
      </c>
      <c r="I213" t="s">
        <v>40</v>
      </c>
      <c r="J213" t="s">
        <v>91</v>
      </c>
      <c r="K213" t="s">
        <v>114</v>
      </c>
      <c r="L213" s="5">
        <v>45784</v>
      </c>
      <c r="M213" s="7">
        <v>0.11805555555555555</v>
      </c>
      <c r="N213" s="7">
        <v>0.64583333333333337</v>
      </c>
      <c r="O213" t="s">
        <v>128</v>
      </c>
      <c r="P213" t="s">
        <v>106</v>
      </c>
      <c r="Q213">
        <v>2600</v>
      </c>
      <c r="R213">
        <v>31.4</v>
      </c>
      <c r="S213" t="s">
        <v>101</v>
      </c>
      <c r="T213">
        <v>90</v>
      </c>
      <c r="U213" t="s">
        <v>107</v>
      </c>
      <c r="V213" t="s">
        <v>96</v>
      </c>
      <c r="W213">
        <v>15000</v>
      </c>
    </row>
    <row r="214" spans="1:23" x14ac:dyDescent="0.35">
      <c r="A214" t="s">
        <v>431</v>
      </c>
      <c r="B214" t="s">
        <v>74</v>
      </c>
      <c r="C214">
        <v>47</v>
      </c>
      <c r="D214" t="s">
        <v>11</v>
      </c>
      <c r="E214" t="s">
        <v>19</v>
      </c>
      <c r="F214" t="s">
        <v>75</v>
      </c>
      <c r="G214" t="s">
        <v>21</v>
      </c>
      <c r="H214" t="s">
        <v>14</v>
      </c>
      <c r="I214" t="s">
        <v>23</v>
      </c>
      <c r="J214" t="s">
        <v>90</v>
      </c>
      <c r="K214" t="s">
        <v>98</v>
      </c>
      <c r="L214" s="5">
        <v>45785</v>
      </c>
      <c r="M214" s="7">
        <v>0.54513888888888884</v>
      </c>
      <c r="N214" s="7">
        <v>0.71875</v>
      </c>
      <c r="O214" t="s">
        <v>129</v>
      </c>
      <c r="P214" t="s">
        <v>93</v>
      </c>
      <c r="Q214">
        <v>390</v>
      </c>
      <c r="R214">
        <v>16.100000000000001</v>
      </c>
      <c r="S214" t="s">
        <v>94</v>
      </c>
      <c r="T214">
        <v>0</v>
      </c>
      <c r="U214" t="s">
        <v>95</v>
      </c>
      <c r="V214" t="s">
        <v>103</v>
      </c>
      <c r="W214">
        <v>3000</v>
      </c>
    </row>
    <row r="215" spans="1:23" x14ac:dyDescent="0.35">
      <c r="A215" t="s">
        <v>432</v>
      </c>
      <c r="B215" t="s">
        <v>131</v>
      </c>
      <c r="C215">
        <v>28</v>
      </c>
      <c r="D215" t="s">
        <v>18</v>
      </c>
      <c r="E215" t="s">
        <v>52</v>
      </c>
      <c r="F215" t="s">
        <v>132</v>
      </c>
      <c r="G215" t="s">
        <v>21</v>
      </c>
      <c r="H215" t="s">
        <v>33</v>
      </c>
      <c r="I215" t="s">
        <v>28</v>
      </c>
      <c r="J215" t="s">
        <v>108</v>
      </c>
      <c r="K215" t="s">
        <v>104</v>
      </c>
      <c r="L215" s="5">
        <v>45785</v>
      </c>
      <c r="M215" s="7">
        <v>0.32291666666666669</v>
      </c>
      <c r="N215" s="7">
        <v>0.75694444444444442</v>
      </c>
      <c r="O215" t="s">
        <v>133</v>
      </c>
      <c r="P215" t="s">
        <v>118</v>
      </c>
      <c r="Q215">
        <v>980</v>
      </c>
      <c r="R215">
        <v>21</v>
      </c>
      <c r="S215" t="s">
        <v>111</v>
      </c>
      <c r="T215">
        <v>0</v>
      </c>
      <c r="U215" t="s">
        <v>102</v>
      </c>
      <c r="V215" t="s">
        <v>96</v>
      </c>
      <c r="W215">
        <v>7200</v>
      </c>
    </row>
    <row r="216" spans="1:23" x14ac:dyDescent="0.35">
      <c r="A216" t="s">
        <v>433</v>
      </c>
      <c r="B216" t="s">
        <v>135</v>
      </c>
      <c r="C216">
        <v>39</v>
      </c>
      <c r="D216" t="s">
        <v>11</v>
      </c>
      <c r="E216" t="s">
        <v>12</v>
      </c>
      <c r="F216" s="3" t="s">
        <v>136</v>
      </c>
      <c r="G216" t="s">
        <v>13</v>
      </c>
      <c r="H216" t="s">
        <v>15</v>
      </c>
      <c r="I216" t="s">
        <v>22</v>
      </c>
      <c r="J216" t="s">
        <v>91</v>
      </c>
      <c r="K216" t="s">
        <v>97</v>
      </c>
      <c r="L216" s="5">
        <v>45786</v>
      </c>
      <c r="M216" s="7">
        <v>0.47916666666666669</v>
      </c>
      <c r="N216" s="7">
        <v>0.56944444444444442</v>
      </c>
      <c r="O216" t="s">
        <v>137</v>
      </c>
      <c r="P216" t="s">
        <v>93</v>
      </c>
      <c r="Q216">
        <v>110</v>
      </c>
      <c r="R216">
        <v>8.6</v>
      </c>
      <c r="S216" t="s">
        <v>94</v>
      </c>
      <c r="T216">
        <v>0</v>
      </c>
      <c r="U216" t="s">
        <v>95</v>
      </c>
      <c r="V216" t="s">
        <v>103</v>
      </c>
      <c r="W216">
        <v>1500</v>
      </c>
    </row>
    <row r="217" spans="1:23" x14ac:dyDescent="0.35">
      <c r="A217" t="s">
        <v>434</v>
      </c>
      <c r="B217" t="s">
        <v>139</v>
      </c>
      <c r="C217">
        <v>26</v>
      </c>
      <c r="D217" t="s">
        <v>18</v>
      </c>
      <c r="E217" t="s">
        <v>19</v>
      </c>
      <c r="F217" t="s">
        <v>140</v>
      </c>
      <c r="G217" t="s">
        <v>13</v>
      </c>
      <c r="H217" t="s">
        <v>57</v>
      </c>
      <c r="I217" t="s">
        <v>39</v>
      </c>
      <c r="J217" t="s">
        <v>121</v>
      </c>
      <c r="K217" t="s">
        <v>113</v>
      </c>
      <c r="L217" s="5">
        <v>45786</v>
      </c>
      <c r="M217" s="7">
        <v>0.66666666666666663</v>
      </c>
      <c r="N217" s="7">
        <v>0.76736111111111116</v>
      </c>
      <c r="O217" t="s">
        <v>141</v>
      </c>
      <c r="P217" t="s">
        <v>93</v>
      </c>
      <c r="Q217">
        <v>140</v>
      </c>
      <c r="R217">
        <v>11.2</v>
      </c>
      <c r="S217" t="s">
        <v>101</v>
      </c>
      <c r="T217">
        <v>20</v>
      </c>
      <c r="U217" t="s">
        <v>95</v>
      </c>
      <c r="V217" t="s">
        <v>96</v>
      </c>
      <c r="W217">
        <v>2700</v>
      </c>
    </row>
    <row r="218" spans="1:23" x14ac:dyDescent="0.35">
      <c r="A218" t="s">
        <v>435</v>
      </c>
      <c r="B218" t="s">
        <v>143</v>
      </c>
      <c r="C218">
        <v>50</v>
      </c>
      <c r="D218" t="s">
        <v>11</v>
      </c>
      <c r="E218" t="s">
        <v>26</v>
      </c>
      <c r="F218" t="s">
        <v>144</v>
      </c>
      <c r="G218" t="s">
        <v>21</v>
      </c>
      <c r="H218" t="s">
        <v>14</v>
      </c>
      <c r="I218" t="s">
        <v>34</v>
      </c>
      <c r="J218" t="s">
        <v>90</v>
      </c>
      <c r="K218" t="s">
        <v>109</v>
      </c>
      <c r="L218" s="5">
        <v>45787</v>
      </c>
      <c r="M218" s="7">
        <v>0.88194444444444442</v>
      </c>
      <c r="N218" s="7">
        <v>0.2013888888888889</v>
      </c>
      <c r="O218" t="s">
        <v>145</v>
      </c>
      <c r="P218" t="s">
        <v>100</v>
      </c>
      <c r="Q218">
        <v>1450</v>
      </c>
      <c r="R218">
        <v>25.9</v>
      </c>
      <c r="S218" t="s">
        <v>94</v>
      </c>
      <c r="T218">
        <v>0</v>
      </c>
      <c r="U218" t="s">
        <v>107</v>
      </c>
      <c r="V218" t="s">
        <v>125</v>
      </c>
      <c r="W218">
        <v>11800</v>
      </c>
    </row>
    <row r="219" spans="1:23" x14ac:dyDescent="0.35">
      <c r="A219" t="s">
        <v>436</v>
      </c>
      <c r="B219" t="s">
        <v>222</v>
      </c>
      <c r="C219">
        <v>31</v>
      </c>
      <c r="D219" t="s">
        <v>18</v>
      </c>
      <c r="E219" t="s">
        <v>31</v>
      </c>
      <c r="F219" t="s">
        <v>148</v>
      </c>
      <c r="G219" t="s">
        <v>21</v>
      </c>
      <c r="H219" t="s">
        <v>15</v>
      </c>
      <c r="I219" t="s">
        <v>23</v>
      </c>
      <c r="J219" t="s">
        <v>91</v>
      </c>
      <c r="K219" t="s">
        <v>98</v>
      </c>
      <c r="L219" s="5">
        <v>45787</v>
      </c>
      <c r="M219" s="7">
        <v>0.18402777777777779</v>
      </c>
      <c r="N219" s="7">
        <v>0.33333333333333331</v>
      </c>
      <c r="O219" t="s">
        <v>149</v>
      </c>
      <c r="P219" t="s">
        <v>93</v>
      </c>
      <c r="Q219">
        <v>330</v>
      </c>
      <c r="R219">
        <v>13.5</v>
      </c>
      <c r="S219" t="s">
        <v>111</v>
      </c>
      <c r="T219">
        <v>0</v>
      </c>
      <c r="U219" t="s">
        <v>102</v>
      </c>
      <c r="V219" t="s">
        <v>112</v>
      </c>
      <c r="W219">
        <v>2100</v>
      </c>
    </row>
    <row r="220" spans="1:23" x14ac:dyDescent="0.35">
      <c r="A220" t="s">
        <v>437</v>
      </c>
      <c r="B220" t="s">
        <v>224</v>
      </c>
      <c r="C220">
        <v>44</v>
      </c>
      <c r="D220" t="s">
        <v>11</v>
      </c>
      <c r="E220" t="s">
        <v>12</v>
      </c>
      <c r="F220" s="3" t="s">
        <v>225</v>
      </c>
      <c r="G220" t="s">
        <v>13</v>
      </c>
      <c r="H220" t="s">
        <v>22</v>
      </c>
      <c r="I220" t="s">
        <v>57</v>
      </c>
      <c r="J220" t="s">
        <v>97</v>
      </c>
      <c r="K220" t="s">
        <v>121</v>
      </c>
      <c r="L220" s="5">
        <v>45788</v>
      </c>
      <c r="M220" s="7">
        <v>0.38194444444444442</v>
      </c>
      <c r="N220" s="7">
        <v>0.4861111111111111</v>
      </c>
      <c r="O220" t="s">
        <v>226</v>
      </c>
      <c r="P220" t="s">
        <v>93</v>
      </c>
      <c r="Q220">
        <v>125</v>
      </c>
      <c r="R220">
        <v>12</v>
      </c>
      <c r="S220" t="s">
        <v>94</v>
      </c>
      <c r="T220">
        <v>0</v>
      </c>
      <c r="U220" t="s">
        <v>95</v>
      </c>
      <c r="V220" t="s">
        <v>103</v>
      </c>
      <c r="W220">
        <v>2100</v>
      </c>
    </row>
    <row r="221" spans="1:23" x14ac:dyDescent="0.35">
      <c r="A221" t="s">
        <v>438</v>
      </c>
      <c r="B221" t="s">
        <v>30</v>
      </c>
      <c r="C221">
        <v>25</v>
      </c>
      <c r="D221" t="s">
        <v>18</v>
      </c>
      <c r="E221" t="s">
        <v>19</v>
      </c>
      <c r="F221" t="s">
        <v>20</v>
      </c>
      <c r="G221" t="s">
        <v>21</v>
      </c>
      <c r="H221" t="s">
        <v>15</v>
      </c>
      <c r="I221" t="s">
        <v>28</v>
      </c>
      <c r="J221" t="s">
        <v>91</v>
      </c>
      <c r="K221" t="s">
        <v>104</v>
      </c>
      <c r="L221" s="5">
        <v>45788</v>
      </c>
      <c r="M221" s="7">
        <v>5.2083333333333336E-2</v>
      </c>
      <c r="N221" s="7">
        <v>0.40972222222222221</v>
      </c>
      <c r="O221" t="s">
        <v>99</v>
      </c>
      <c r="P221" t="s">
        <v>100</v>
      </c>
      <c r="Q221">
        <v>860</v>
      </c>
      <c r="R221">
        <v>24</v>
      </c>
      <c r="S221" t="s">
        <v>101</v>
      </c>
      <c r="T221">
        <v>50</v>
      </c>
      <c r="U221" t="s">
        <v>102</v>
      </c>
      <c r="V221" t="s">
        <v>96</v>
      </c>
      <c r="W221">
        <v>8400</v>
      </c>
    </row>
    <row r="222" spans="1:23" x14ac:dyDescent="0.35">
      <c r="A222" t="s">
        <v>439</v>
      </c>
      <c r="B222" t="s">
        <v>197</v>
      </c>
      <c r="C222">
        <v>38</v>
      </c>
      <c r="D222" t="s">
        <v>11</v>
      </c>
      <c r="E222" t="s">
        <v>37</v>
      </c>
      <c r="F222" t="s">
        <v>38</v>
      </c>
      <c r="G222" t="s">
        <v>21</v>
      </c>
      <c r="H222" t="s">
        <v>39</v>
      </c>
      <c r="I222" t="s">
        <v>40</v>
      </c>
      <c r="J222" t="s">
        <v>113</v>
      </c>
      <c r="K222" t="s">
        <v>114</v>
      </c>
      <c r="L222" s="5">
        <v>45789</v>
      </c>
      <c r="M222" s="7">
        <v>0.91666666666666663</v>
      </c>
      <c r="N222" s="7">
        <v>0.57291666666666663</v>
      </c>
      <c r="O222" t="s">
        <v>115</v>
      </c>
      <c r="P222" t="s">
        <v>100</v>
      </c>
      <c r="Q222">
        <v>1980</v>
      </c>
      <c r="R222">
        <v>27.5</v>
      </c>
      <c r="S222" t="s">
        <v>94</v>
      </c>
      <c r="T222">
        <v>0</v>
      </c>
      <c r="U222" t="s">
        <v>102</v>
      </c>
      <c r="V222" t="s">
        <v>103</v>
      </c>
      <c r="W222">
        <v>9700</v>
      </c>
    </row>
    <row r="223" spans="1:23" x14ac:dyDescent="0.35">
      <c r="A223" t="s">
        <v>440</v>
      </c>
      <c r="B223" t="s">
        <v>42</v>
      </c>
      <c r="C223">
        <v>31</v>
      </c>
      <c r="D223" t="s">
        <v>18</v>
      </c>
      <c r="E223" t="s">
        <v>43</v>
      </c>
      <c r="F223" t="s">
        <v>44</v>
      </c>
      <c r="G223" t="s">
        <v>21</v>
      </c>
      <c r="H223" t="s">
        <v>15</v>
      </c>
      <c r="I223" t="s">
        <v>45</v>
      </c>
      <c r="J223" t="s">
        <v>91</v>
      </c>
      <c r="K223" t="s">
        <v>116</v>
      </c>
      <c r="L223" s="5">
        <v>45789</v>
      </c>
      <c r="M223" s="7">
        <v>0.15625</v>
      </c>
      <c r="N223" s="7">
        <v>0.47222222222222221</v>
      </c>
      <c r="O223" t="s">
        <v>117</v>
      </c>
      <c r="P223" t="s">
        <v>118</v>
      </c>
      <c r="Q223">
        <v>980</v>
      </c>
      <c r="R223">
        <v>19.3</v>
      </c>
      <c r="S223" t="s">
        <v>94</v>
      </c>
      <c r="T223">
        <v>0</v>
      </c>
      <c r="U223" t="s">
        <v>95</v>
      </c>
      <c r="V223" t="s">
        <v>96</v>
      </c>
      <c r="W223">
        <v>5400</v>
      </c>
    </row>
    <row r="224" spans="1:23" x14ac:dyDescent="0.35">
      <c r="A224" t="s">
        <v>441</v>
      </c>
      <c r="B224" t="s">
        <v>231</v>
      </c>
      <c r="C224">
        <v>35</v>
      </c>
      <c r="D224" t="s">
        <v>11</v>
      </c>
      <c r="E224" t="s">
        <v>26</v>
      </c>
      <c r="F224" t="s">
        <v>232</v>
      </c>
      <c r="G224" t="s">
        <v>21</v>
      </c>
      <c r="H224" t="s">
        <v>22</v>
      </c>
      <c r="I224" t="s">
        <v>28</v>
      </c>
      <c r="J224" t="s">
        <v>97</v>
      </c>
      <c r="K224" t="s">
        <v>104</v>
      </c>
      <c r="L224" s="5">
        <v>45790</v>
      </c>
      <c r="M224" s="7">
        <v>9.0277777777777776E-2</v>
      </c>
      <c r="N224" s="7">
        <v>0.36805555555555558</v>
      </c>
      <c r="O224" t="s">
        <v>119</v>
      </c>
      <c r="P224" t="s">
        <v>100</v>
      </c>
      <c r="Q224">
        <v>1800</v>
      </c>
      <c r="R224">
        <v>26.5</v>
      </c>
      <c r="S224" t="s">
        <v>94</v>
      </c>
      <c r="T224">
        <v>0</v>
      </c>
      <c r="U224" t="s">
        <v>107</v>
      </c>
      <c r="V224" t="s">
        <v>103</v>
      </c>
      <c r="W224">
        <v>12000</v>
      </c>
    </row>
    <row r="225" spans="1:23" x14ac:dyDescent="0.35">
      <c r="A225" t="s">
        <v>442</v>
      </c>
      <c r="B225" t="s">
        <v>234</v>
      </c>
      <c r="C225">
        <v>28</v>
      </c>
      <c r="D225" t="s">
        <v>18</v>
      </c>
      <c r="E225" t="s">
        <v>12</v>
      </c>
      <c r="F225" s="3" t="s">
        <v>235</v>
      </c>
      <c r="G225" t="s">
        <v>13</v>
      </c>
      <c r="H225" t="s">
        <v>14</v>
      </c>
      <c r="I225" t="s">
        <v>15</v>
      </c>
      <c r="J225" t="s">
        <v>90</v>
      </c>
      <c r="K225" t="s">
        <v>91</v>
      </c>
      <c r="L225" s="5">
        <v>45790</v>
      </c>
      <c r="M225" s="7">
        <v>0.28125</v>
      </c>
      <c r="N225" s="7">
        <v>0.3888888888888889</v>
      </c>
      <c r="O225" t="s">
        <v>236</v>
      </c>
      <c r="P225" t="s">
        <v>93</v>
      </c>
      <c r="Q225">
        <v>150</v>
      </c>
      <c r="R225">
        <v>11.2</v>
      </c>
      <c r="S225" t="s">
        <v>101</v>
      </c>
      <c r="T225">
        <v>30</v>
      </c>
      <c r="U225" t="s">
        <v>102</v>
      </c>
      <c r="V225" t="s">
        <v>96</v>
      </c>
      <c r="W225">
        <v>3200</v>
      </c>
    </row>
    <row r="226" spans="1:23" x14ac:dyDescent="0.35">
      <c r="A226" t="s">
        <v>443</v>
      </c>
      <c r="B226" t="s">
        <v>25</v>
      </c>
      <c r="C226">
        <v>41</v>
      </c>
      <c r="D226" t="s">
        <v>11</v>
      </c>
      <c r="E226" t="s">
        <v>26</v>
      </c>
      <c r="F226" t="s">
        <v>27</v>
      </c>
      <c r="G226" t="s">
        <v>21</v>
      </c>
      <c r="H226" t="s">
        <v>15</v>
      </c>
      <c r="I226" t="s">
        <v>28</v>
      </c>
      <c r="J226" t="s">
        <v>91</v>
      </c>
      <c r="K226" t="s">
        <v>104</v>
      </c>
      <c r="L226" s="5">
        <v>45791</v>
      </c>
      <c r="M226" s="7">
        <v>5.5555555555555552E-2</v>
      </c>
      <c r="N226" s="7">
        <v>0.41319444444444442</v>
      </c>
      <c r="O226" t="s">
        <v>105</v>
      </c>
      <c r="P226" t="s">
        <v>106</v>
      </c>
      <c r="Q226">
        <v>2450</v>
      </c>
      <c r="R226">
        <v>30.2</v>
      </c>
      <c r="S226" t="s">
        <v>94</v>
      </c>
      <c r="T226">
        <v>0</v>
      </c>
      <c r="U226" t="s">
        <v>107</v>
      </c>
      <c r="V226" t="s">
        <v>103</v>
      </c>
      <c r="W226">
        <v>13200</v>
      </c>
    </row>
    <row r="227" spans="1:23" x14ac:dyDescent="0.35">
      <c r="A227" t="s">
        <v>444</v>
      </c>
      <c r="B227" t="s">
        <v>30</v>
      </c>
      <c r="C227">
        <v>25</v>
      </c>
      <c r="D227" t="s">
        <v>18</v>
      </c>
      <c r="E227" t="s">
        <v>31</v>
      </c>
      <c r="F227" t="s">
        <v>32</v>
      </c>
      <c r="G227" t="s">
        <v>21</v>
      </c>
      <c r="H227" t="s">
        <v>33</v>
      </c>
      <c r="I227" t="s">
        <v>34</v>
      </c>
      <c r="J227" t="s">
        <v>108</v>
      </c>
      <c r="K227" t="s">
        <v>109</v>
      </c>
      <c r="L227" s="5">
        <v>45791</v>
      </c>
      <c r="M227" s="7">
        <v>0.34027777777777779</v>
      </c>
      <c r="N227" s="7">
        <v>0.58333333333333337</v>
      </c>
      <c r="O227" t="s">
        <v>110</v>
      </c>
      <c r="P227" t="s">
        <v>93</v>
      </c>
      <c r="Q227">
        <v>420</v>
      </c>
      <c r="R227">
        <v>15.6</v>
      </c>
      <c r="S227" t="s">
        <v>111</v>
      </c>
      <c r="T227">
        <v>0</v>
      </c>
      <c r="U227" t="s">
        <v>95</v>
      </c>
      <c r="V227" t="s">
        <v>112</v>
      </c>
      <c r="W227">
        <v>3500</v>
      </c>
    </row>
    <row r="228" spans="1:23" x14ac:dyDescent="0.35">
      <c r="A228" t="s">
        <v>445</v>
      </c>
      <c r="B228" t="s">
        <v>36</v>
      </c>
      <c r="C228">
        <v>38</v>
      </c>
      <c r="D228" t="s">
        <v>11</v>
      </c>
      <c r="E228" t="s">
        <v>37</v>
      </c>
      <c r="F228" t="s">
        <v>38</v>
      </c>
      <c r="G228" t="s">
        <v>21</v>
      </c>
      <c r="H228" t="s">
        <v>39</v>
      </c>
      <c r="I228" t="s">
        <v>40</v>
      </c>
      <c r="J228" t="s">
        <v>113</v>
      </c>
      <c r="K228" t="s">
        <v>114</v>
      </c>
      <c r="L228" s="5">
        <v>45792</v>
      </c>
      <c r="M228" s="7">
        <v>0.91666666666666663</v>
      </c>
      <c r="N228" s="7">
        <v>0.57291666666666663</v>
      </c>
      <c r="O228" t="s">
        <v>115</v>
      </c>
      <c r="P228" t="s">
        <v>100</v>
      </c>
      <c r="Q228">
        <v>1980</v>
      </c>
      <c r="R228">
        <v>27.5</v>
      </c>
      <c r="S228" t="s">
        <v>94</v>
      </c>
      <c r="T228">
        <v>0</v>
      </c>
      <c r="U228" t="s">
        <v>102</v>
      </c>
      <c r="V228" t="s">
        <v>103</v>
      </c>
      <c r="W228">
        <v>9700</v>
      </c>
    </row>
    <row r="229" spans="1:23" x14ac:dyDescent="0.35">
      <c r="A229" t="s">
        <v>446</v>
      </c>
      <c r="B229" t="s">
        <v>42</v>
      </c>
      <c r="C229">
        <v>31</v>
      </c>
      <c r="D229" t="s">
        <v>18</v>
      </c>
      <c r="E229" t="s">
        <v>43</v>
      </c>
      <c r="F229" t="s">
        <v>44</v>
      </c>
      <c r="G229" t="s">
        <v>21</v>
      </c>
      <c r="H229" t="s">
        <v>15</v>
      </c>
      <c r="I229" t="s">
        <v>45</v>
      </c>
      <c r="J229" t="s">
        <v>91</v>
      </c>
      <c r="K229" t="s">
        <v>116</v>
      </c>
      <c r="L229" s="5">
        <v>45792</v>
      </c>
      <c r="M229" s="7">
        <v>0.15625</v>
      </c>
      <c r="N229" s="7">
        <v>0.47222222222222221</v>
      </c>
      <c r="O229" t="s">
        <v>117</v>
      </c>
      <c r="P229" t="s">
        <v>118</v>
      </c>
      <c r="Q229">
        <v>980</v>
      </c>
      <c r="R229">
        <v>19.3</v>
      </c>
      <c r="S229" t="s">
        <v>101</v>
      </c>
      <c r="T229">
        <v>35</v>
      </c>
      <c r="U229" t="s">
        <v>95</v>
      </c>
      <c r="V229" t="s">
        <v>96</v>
      </c>
      <c r="W229">
        <v>5400</v>
      </c>
    </row>
    <row r="230" spans="1:23" x14ac:dyDescent="0.35">
      <c r="A230" t="s">
        <v>447</v>
      </c>
      <c r="B230" t="s">
        <v>47</v>
      </c>
      <c r="C230">
        <v>45</v>
      </c>
      <c r="D230" t="s">
        <v>11</v>
      </c>
      <c r="E230" t="s">
        <v>48</v>
      </c>
      <c r="F230" t="s">
        <v>49</v>
      </c>
      <c r="G230" t="s">
        <v>21</v>
      </c>
      <c r="H230" t="s">
        <v>14</v>
      </c>
      <c r="I230" t="s">
        <v>28</v>
      </c>
      <c r="J230" t="s">
        <v>90</v>
      </c>
      <c r="K230" t="s">
        <v>104</v>
      </c>
      <c r="L230" s="5">
        <v>45793</v>
      </c>
      <c r="M230" s="7">
        <v>0.42708333333333331</v>
      </c>
      <c r="N230" s="7">
        <v>0.77083333333333337</v>
      </c>
      <c r="O230" t="s">
        <v>119</v>
      </c>
      <c r="P230" t="s">
        <v>100</v>
      </c>
      <c r="Q230">
        <v>1650</v>
      </c>
      <c r="R230">
        <v>26.8</v>
      </c>
      <c r="S230" t="s">
        <v>94</v>
      </c>
      <c r="T230">
        <v>0</v>
      </c>
      <c r="U230" t="s">
        <v>107</v>
      </c>
      <c r="V230" t="s">
        <v>103</v>
      </c>
      <c r="W230">
        <v>11000</v>
      </c>
    </row>
    <row r="231" spans="1:23" x14ac:dyDescent="0.35">
      <c r="A231" t="s">
        <v>448</v>
      </c>
      <c r="B231" t="s">
        <v>51</v>
      </c>
      <c r="C231">
        <v>27</v>
      </c>
      <c r="D231" t="s">
        <v>18</v>
      </c>
      <c r="E231" t="s">
        <v>52</v>
      </c>
      <c r="F231" t="s">
        <v>53</v>
      </c>
      <c r="G231" t="s">
        <v>21</v>
      </c>
      <c r="H231" t="s">
        <v>22</v>
      </c>
      <c r="I231" t="s">
        <v>40</v>
      </c>
      <c r="J231" t="s">
        <v>97</v>
      </c>
      <c r="K231" t="s">
        <v>114</v>
      </c>
      <c r="L231" s="5">
        <v>45793</v>
      </c>
      <c r="M231" s="7">
        <v>0.24305555555555555</v>
      </c>
      <c r="N231" s="7">
        <v>0.72222222222222221</v>
      </c>
      <c r="O231" t="s">
        <v>120</v>
      </c>
      <c r="P231" t="s">
        <v>93</v>
      </c>
      <c r="Q231">
        <v>740</v>
      </c>
      <c r="R231">
        <v>17.2</v>
      </c>
      <c r="S231" t="s">
        <v>111</v>
      </c>
      <c r="T231">
        <v>0</v>
      </c>
      <c r="U231" t="s">
        <v>95</v>
      </c>
      <c r="V231" t="s">
        <v>96</v>
      </c>
      <c r="W231">
        <v>4100</v>
      </c>
    </row>
    <row r="232" spans="1:23" x14ac:dyDescent="0.35">
      <c r="A232" t="s">
        <v>449</v>
      </c>
      <c r="B232" t="s">
        <v>55</v>
      </c>
      <c r="C232">
        <v>36</v>
      </c>
      <c r="D232" t="s">
        <v>11</v>
      </c>
      <c r="E232" t="s">
        <v>12</v>
      </c>
      <c r="F232" s="3" t="s">
        <v>56</v>
      </c>
      <c r="G232" t="s">
        <v>13</v>
      </c>
      <c r="H232" t="s">
        <v>57</v>
      </c>
      <c r="I232" t="s">
        <v>33</v>
      </c>
      <c r="J232" t="s">
        <v>121</v>
      </c>
      <c r="K232" t="s">
        <v>108</v>
      </c>
      <c r="L232" s="5">
        <v>45794</v>
      </c>
      <c r="M232" s="7">
        <v>0.60069444444444442</v>
      </c>
      <c r="N232" s="7">
        <v>0.71527777777777779</v>
      </c>
      <c r="O232" t="s">
        <v>122</v>
      </c>
      <c r="P232" t="s">
        <v>93</v>
      </c>
      <c r="Q232">
        <v>125</v>
      </c>
      <c r="R232">
        <v>12</v>
      </c>
      <c r="S232" t="s">
        <v>94</v>
      </c>
      <c r="T232">
        <v>0</v>
      </c>
      <c r="U232" t="s">
        <v>102</v>
      </c>
      <c r="V232" t="s">
        <v>103</v>
      </c>
      <c r="W232">
        <v>1800</v>
      </c>
    </row>
    <row r="233" spans="1:23" x14ac:dyDescent="0.35">
      <c r="A233" t="s">
        <v>450</v>
      </c>
      <c r="B233" t="s">
        <v>59</v>
      </c>
      <c r="C233">
        <v>30</v>
      </c>
      <c r="D233" t="s">
        <v>18</v>
      </c>
      <c r="E233" t="s">
        <v>19</v>
      </c>
      <c r="F233" t="s">
        <v>60</v>
      </c>
      <c r="G233" t="s">
        <v>13</v>
      </c>
      <c r="H233" t="s">
        <v>15</v>
      </c>
      <c r="I233" t="s">
        <v>14</v>
      </c>
      <c r="J233" t="s">
        <v>91</v>
      </c>
      <c r="K233" t="s">
        <v>90</v>
      </c>
      <c r="L233" s="5">
        <v>45794</v>
      </c>
      <c r="M233" s="7">
        <v>0.40277777777777779</v>
      </c>
      <c r="N233" s="7">
        <v>0.51736111111111116</v>
      </c>
      <c r="O233" t="s">
        <v>123</v>
      </c>
      <c r="P233" t="s">
        <v>118</v>
      </c>
      <c r="Q233">
        <v>310</v>
      </c>
      <c r="R233">
        <v>20.5</v>
      </c>
      <c r="S233" t="s">
        <v>101</v>
      </c>
      <c r="T233">
        <v>35</v>
      </c>
      <c r="U233" t="s">
        <v>95</v>
      </c>
      <c r="V233" t="s">
        <v>96</v>
      </c>
      <c r="W233">
        <v>6200</v>
      </c>
    </row>
    <row r="234" spans="1:23" x14ac:dyDescent="0.35">
      <c r="A234" t="s">
        <v>451</v>
      </c>
      <c r="B234" t="s">
        <v>62</v>
      </c>
      <c r="C234">
        <v>52</v>
      </c>
      <c r="D234" t="s">
        <v>11</v>
      </c>
      <c r="E234" t="s">
        <v>26</v>
      </c>
      <c r="F234" t="s">
        <v>63</v>
      </c>
      <c r="G234" t="s">
        <v>21</v>
      </c>
      <c r="H234" t="s">
        <v>22</v>
      </c>
      <c r="I234" t="s">
        <v>23</v>
      </c>
      <c r="J234" t="s">
        <v>97</v>
      </c>
      <c r="K234" t="s">
        <v>98</v>
      </c>
      <c r="L234" s="5">
        <v>45795</v>
      </c>
      <c r="M234" s="7">
        <v>0.96875</v>
      </c>
      <c r="N234" s="7">
        <v>0.12152777777777778</v>
      </c>
      <c r="O234" t="s">
        <v>124</v>
      </c>
      <c r="P234" t="s">
        <v>100</v>
      </c>
      <c r="Q234">
        <v>1200</v>
      </c>
      <c r="R234">
        <v>28</v>
      </c>
      <c r="S234" t="s">
        <v>94</v>
      </c>
      <c r="T234">
        <v>0</v>
      </c>
      <c r="U234" t="s">
        <v>107</v>
      </c>
      <c r="V234" t="s">
        <v>125</v>
      </c>
      <c r="W234">
        <v>14000</v>
      </c>
    </row>
    <row r="235" spans="1:23" x14ac:dyDescent="0.35">
      <c r="A235" t="s">
        <v>452</v>
      </c>
      <c r="B235" t="s">
        <v>65</v>
      </c>
      <c r="C235">
        <v>24</v>
      </c>
      <c r="D235" t="s">
        <v>18</v>
      </c>
      <c r="E235" t="s">
        <v>12</v>
      </c>
      <c r="F235" s="3" t="s">
        <v>66</v>
      </c>
      <c r="G235" t="s">
        <v>13</v>
      </c>
      <c r="H235" t="s">
        <v>39</v>
      </c>
      <c r="I235" t="s">
        <v>15</v>
      </c>
      <c r="J235" t="s">
        <v>113</v>
      </c>
      <c r="K235" t="s">
        <v>91</v>
      </c>
      <c r="L235" s="5">
        <v>45795</v>
      </c>
      <c r="M235" s="7">
        <v>0.25694444444444442</v>
      </c>
      <c r="N235" s="7">
        <v>0.3611111111111111</v>
      </c>
      <c r="O235" t="s">
        <v>126</v>
      </c>
      <c r="P235" t="s">
        <v>93</v>
      </c>
      <c r="Q235">
        <v>160</v>
      </c>
      <c r="R235">
        <v>10.4</v>
      </c>
      <c r="S235" t="s">
        <v>111</v>
      </c>
      <c r="T235">
        <v>0</v>
      </c>
      <c r="U235" t="s">
        <v>102</v>
      </c>
      <c r="V235" t="s">
        <v>112</v>
      </c>
      <c r="W235">
        <v>900</v>
      </c>
    </row>
    <row r="236" spans="1:23" x14ac:dyDescent="0.35">
      <c r="A236" t="s">
        <v>453</v>
      </c>
      <c r="B236" t="s">
        <v>68</v>
      </c>
      <c r="C236">
        <v>40</v>
      </c>
      <c r="D236" t="s">
        <v>11</v>
      </c>
      <c r="E236" t="s">
        <v>37</v>
      </c>
      <c r="F236" t="s">
        <v>69</v>
      </c>
      <c r="G236" t="s">
        <v>21</v>
      </c>
      <c r="H236" t="s">
        <v>33</v>
      </c>
      <c r="I236" t="s">
        <v>34</v>
      </c>
      <c r="J236" t="s">
        <v>108</v>
      </c>
      <c r="K236" t="s">
        <v>109</v>
      </c>
      <c r="L236" s="5">
        <v>45796</v>
      </c>
      <c r="M236" s="7">
        <v>0.84722222222222221</v>
      </c>
      <c r="N236" s="7">
        <v>9.0277777777777776E-2</v>
      </c>
      <c r="O236" t="s">
        <v>127</v>
      </c>
      <c r="P236" t="s">
        <v>100</v>
      </c>
      <c r="Q236">
        <v>1340</v>
      </c>
      <c r="R236">
        <v>22.6</v>
      </c>
      <c r="S236" t="s">
        <v>94</v>
      </c>
      <c r="T236">
        <v>0</v>
      </c>
      <c r="U236" t="s">
        <v>95</v>
      </c>
      <c r="V236" t="s">
        <v>103</v>
      </c>
      <c r="W236">
        <v>8700</v>
      </c>
    </row>
    <row r="237" spans="1:23" x14ac:dyDescent="0.35">
      <c r="A237" t="s">
        <v>454</v>
      </c>
      <c r="B237" t="s">
        <v>71</v>
      </c>
      <c r="C237">
        <v>33</v>
      </c>
      <c r="D237" t="s">
        <v>18</v>
      </c>
      <c r="E237" t="s">
        <v>43</v>
      </c>
      <c r="F237" t="s">
        <v>72</v>
      </c>
      <c r="G237" t="s">
        <v>21</v>
      </c>
      <c r="H237" t="s">
        <v>15</v>
      </c>
      <c r="I237" t="s">
        <v>40</v>
      </c>
      <c r="J237" t="s">
        <v>91</v>
      </c>
      <c r="K237" t="s">
        <v>114</v>
      </c>
      <c r="L237" s="5">
        <v>45796</v>
      </c>
      <c r="M237" s="7">
        <v>0.11805555555555555</v>
      </c>
      <c r="N237" s="7">
        <v>0.64583333333333337</v>
      </c>
      <c r="O237" t="s">
        <v>128</v>
      </c>
      <c r="P237" t="s">
        <v>106</v>
      </c>
      <c r="Q237">
        <v>2600</v>
      </c>
      <c r="R237">
        <v>31.4</v>
      </c>
      <c r="S237" t="s">
        <v>101</v>
      </c>
      <c r="T237">
        <v>90</v>
      </c>
      <c r="U237" t="s">
        <v>107</v>
      </c>
      <c r="V237" t="s">
        <v>96</v>
      </c>
      <c r="W237">
        <v>15000</v>
      </c>
    </row>
    <row r="238" spans="1:23" x14ac:dyDescent="0.35">
      <c r="A238" t="s">
        <v>455</v>
      </c>
      <c r="B238" t="s">
        <v>74</v>
      </c>
      <c r="C238">
        <v>47</v>
      </c>
      <c r="D238" t="s">
        <v>11</v>
      </c>
      <c r="E238" t="s">
        <v>19</v>
      </c>
      <c r="F238" t="s">
        <v>75</v>
      </c>
      <c r="G238" t="s">
        <v>21</v>
      </c>
      <c r="H238" t="s">
        <v>14</v>
      </c>
      <c r="I238" t="s">
        <v>23</v>
      </c>
      <c r="J238" t="s">
        <v>90</v>
      </c>
      <c r="K238" t="s">
        <v>98</v>
      </c>
      <c r="L238" s="5">
        <v>45797</v>
      </c>
      <c r="M238" s="7">
        <v>0.54513888888888884</v>
      </c>
      <c r="N238" s="7">
        <v>0.71875</v>
      </c>
      <c r="O238" t="s">
        <v>129</v>
      </c>
      <c r="P238" t="s">
        <v>93</v>
      </c>
      <c r="Q238">
        <v>390</v>
      </c>
      <c r="R238">
        <v>16.100000000000001</v>
      </c>
      <c r="S238" t="s">
        <v>94</v>
      </c>
      <c r="T238">
        <v>0</v>
      </c>
      <c r="U238" t="s">
        <v>95</v>
      </c>
      <c r="V238" t="s">
        <v>103</v>
      </c>
      <c r="W238">
        <v>3000</v>
      </c>
    </row>
    <row r="239" spans="1:23" x14ac:dyDescent="0.35">
      <c r="A239" t="s">
        <v>456</v>
      </c>
      <c r="B239" t="s">
        <v>131</v>
      </c>
      <c r="C239">
        <v>28</v>
      </c>
      <c r="D239" t="s">
        <v>18</v>
      </c>
      <c r="E239" t="s">
        <v>52</v>
      </c>
      <c r="F239" t="s">
        <v>132</v>
      </c>
      <c r="G239" t="s">
        <v>21</v>
      </c>
      <c r="H239" t="s">
        <v>33</v>
      </c>
      <c r="I239" t="s">
        <v>28</v>
      </c>
      <c r="J239" t="s">
        <v>108</v>
      </c>
      <c r="K239" t="s">
        <v>104</v>
      </c>
      <c r="L239" s="5">
        <v>45797</v>
      </c>
      <c r="M239" s="7">
        <v>0.32291666666666669</v>
      </c>
      <c r="N239" s="7">
        <v>0.75694444444444442</v>
      </c>
      <c r="O239" t="s">
        <v>133</v>
      </c>
      <c r="P239" t="s">
        <v>118</v>
      </c>
      <c r="Q239">
        <v>980</v>
      </c>
      <c r="R239">
        <v>21</v>
      </c>
      <c r="S239" t="s">
        <v>111</v>
      </c>
      <c r="T239">
        <v>0</v>
      </c>
      <c r="U239" t="s">
        <v>102</v>
      </c>
      <c r="V239" t="s">
        <v>96</v>
      </c>
      <c r="W239">
        <v>7200</v>
      </c>
    </row>
    <row r="240" spans="1:23" x14ac:dyDescent="0.35">
      <c r="A240" t="s">
        <v>457</v>
      </c>
      <c r="B240" t="s">
        <v>135</v>
      </c>
      <c r="C240">
        <v>39</v>
      </c>
      <c r="D240" t="s">
        <v>11</v>
      </c>
      <c r="E240" t="s">
        <v>12</v>
      </c>
      <c r="F240" s="3" t="s">
        <v>136</v>
      </c>
      <c r="G240" t="s">
        <v>13</v>
      </c>
      <c r="H240" t="s">
        <v>15</v>
      </c>
      <c r="I240" t="s">
        <v>22</v>
      </c>
      <c r="J240" t="s">
        <v>91</v>
      </c>
      <c r="K240" t="s">
        <v>97</v>
      </c>
      <c r="L240" s="5">
        <v>45798</v>
      </c>
      <c r="M240" s="7">
        <v>0.47916666666666669</v>
      </c>
      <c r="N240" s="7">
        <v>0.56944444444444442</v>
      </c>
      <c r="O240" t="s">
        <v>137</v>
      </c>
      <c r="P240" t="s">
        <v>93</v>
      </c>
      <c r="Q240">
        <v>110</v>
      </c>
      <c r="R240">
        <v>8.6</v>
      </c>
      <c r="S240" t="s">
        <v>94</v>
      </c>
      <c r="T240">
        <v>0</v>
      </c>
      <c r="U240" t="s">
        <v>95</v>
      </c>
      <c r="V240" t="s">
        <v>103</v>
      </c>
      <c r="W240">
        <v>1500</v>
      </c>
    </row>
    <row r="241" spans="1:23" x14ac:dyDescent="0.35">
      <c r="A241" t="s">
        <v>458</v>
      </c>
      <c r="B241" t="s">
        <v>139</v>
      </c>
      <c r="C241">
        <v>26</v>
      </c>
      <c r="D241" t="s">
        <v>18</v>
      </c>
      <c r="E241" t="s">
        <v>19</v>
      </c>
      <c r="F241" t="s">
        <v>140</v>
      </c>
      <c r="G241" t="s">
        <v>13</v>
      </c>
      <c r="H241" t="s">
        <v>57</v>
      </c>
      <c r="I241" t="s">
        <v>39</v>
      </c>
      <c r="J241" t="s">
        <v>121</v>
      </c>
      <c r="K241" t="s">
        <v>113</v>
      </c>
      <c r="L241" s="5">
        <v>45798</v>
      </c>
      <c r="M241" s="7">
        <v>0.66666666666666663</v>
      </c>
      <c r="N241" s="7">
        <v>0.76736111111111116</v>
      </c>
      <c r="O241" t="s">
        <v>141</v>
      </c>
      <c r="P241" t="s">
        <v>93</v>
      </c>
      <c r="Q241">
        <v>140</v>
      </c>
      <c r="R241">
        <v>11.2</v>
      </c>
      <c r="S241" t="s">
        <v>101</v>
      </c>
      <c r="T241">
        <v>20</v>
      </c>
      <c r="U241" t="s">
        <v>95</v>
      </c>
      <c r="V241" t="s">
        <v>96</v>
      </c>
      <c r="W241">
        <v>2700</v>
      </c>
    </row>
    <row r="242" spans="1:23" x14ac:dyDescent="0.35">
      <c r="A242" t="s">
        <v>459</v>
      </c>
      <c r="B242" t="s">
        <v>143</v>
      </c>
      <c r="C242">
        <v>50</v>
      </c>
      <c r="D242" t="s">
        <v>11</v>
      </c>
      <c r="E242" t="s">
        <v>26</v>
      </c>
      <c r="F242" t="s">
        <v>144</v>
      </c>
      <c r="G242" t="s">
        <v>21</v>
      </c>
      <c r="H242" t="s">
        <v>14</v>
      </c>
      <c r="I242" t="s">
        <v>34</v>
      </c>
      <c r="J242" t="s">
        <v>90</v>
      </c>
      <c r="K242" t="s">
        <v>109</v>
      </c>
      <c r="L242" s="5">
        <v>45799</v>
      </c>
      <c r="M242" s="7">
        <v>0.88194444444444442</v>
      </c>
      <c r="N242" s="7">
        <v>0.2013888888888889</v>
      </c>
      <c r="O242" t="s">
        <v>145</v>
      </c>
      <c r="P242" t="s">
        <v>100</v>
      </c>
      <c r="Q242">
        <v>1450</v>
      </c>
      <c r="R242">
        <v>25.9</v>
      </c>
      <c r="S242" t="s">
        <v>94</v>
      </c>
      <c r="T242">
        <v>0</v>
      </c>
      <c r="U242" t="s">
        <v>107</v>
      </c>
      <c r="V242" t="s">
        <v>125</v>
      </c>
      <c r="W242">
        <v>11800</v>
      </c>
    </row>
    <row r="243" spans="1:23" x14ac:dyDescent="0.35">
      <c r="A243" t="s">
        <v>460</v>
      </c>
      <c r="B243" t="s">
        <v>222</v>
      </c>
      <c r="C243">
        <v>31</v>
      </c>
      <c r="D243" t="s">
        <v>18</v>
      </c>
      <c r="E243" t="s">
        <v>31</v>
      </c>
      <c r="F243" t="s">
        <v>148</v>
      </c>
      <c r="G243" t="s">
        <v>21</v>
      </c>
      <c r="H243" t="s">
        <v>15</v>
      </c>
      <c r="I243" t="s">
        <v>23</v>
      </c>
      <c r="J243" t="s">
        <v>91</v>
      </c>
      <c r="K243" t="s">
        <v>98</v>
      </c>
      <c r="L243" s="5">
        <v>45799</v>
      </c>
      <c r="M243" s="7">
        <v>0.18402777777777779</v>
      </c>
      <c r="N243" s="7">
        <v>0.33333333333333331</v>
      </c>
      <c r="O243" t="s">
        <v>149</v>
      </c>
      <c r="P243" t="s">
        <v>93</v>
      </c>
      <c r="Q243">
        <v>330</v>
      </c>
      <c r="R243">
        <v>13.5</v>
      </c>
      <c r="S243" t="s">
        <v>111</v>
      </c>
      <c r="T243">
        <v>0</v>
      </c>
      <c r="U243" t="s">
        <v>102</v>
      </c>
      <c r="V243" t="s">
        <v>112</v>
      </c>
      <c r="W243">
        <v>2100</v>
      </c>
    </row>
    <row r="244" spans="1:23" x14ac:dyDescent="0.35">
      <c r="A244" t="s">
        <v>461</v>
      </c>
      <c r="B244" t="s">
        <v>224</v>
      </c>
      <c r="C244">
        <v>44</v>
      </c>
      <c r="D244" t="s">
        <v>11</v>
      </c>
      <c r="E244" t="s">
        <v>12</v>
      </c>
      <c r="F244" s="3" t="s">
        <v>225</v>
      </c>
      <c r="G244" t="s">
        <v>13</v>
      </c>
      <c r="H244" t="s">
        <v>22</v>
      </c>
      <c r="I244" t="s">
        <v>57</v>
      </c>
      <c r="J244" t="s">
        <v>97</v>
      </c>
      <c r="K244" t="s">
        <v>121</v>
      </c>
      <c r="L244" s="5">
        <v>45800</v>
      </c>
      <c r="M244" s="7">
        <v>0.38194444444444442</v>
      </c>
      <c r="N244" s="7">
        <v>0.4861111111111111</v>
      </c>
      <c r="O244" t="s">
        <v>226</v>
      </c>
      <c r="P244" t="s">
        <v>93</v>
      </c>
      <c r="Q244">
        <v>125</v>
      </c>
      <c r="R244">
        <v>12</v>
      </c>
      <c r="S244" t="s">
        <v>94</v>
      </c>
      <c r="T244">
        <v>0</v>
      </c>
      <c r="U244" t="s">
        <v>95</v>
      </c>
      <c r="V244" t="s">
        <v>103</v>
      </c>
      <c r="W244">
        <v>2100</v>
      </c>
    </row>
    <row r="245" spans="1:23" x14ac:dyDescent="0.35">
      <c r="A245" t="s">
        <v>462</v>
      </c>
      <c r="B245" t="s">
        <v>30</v>
      </c>
      <c r="C245">
        <v>25</v>
      </c>
      <c r="D245" t="s">
        <v>18</v>
      </c>
      <c r="E245" t="s">
        <v>19</v>
      </c>
      <c r="F245" t="s">
        <v>20</v>
      </c>
      <c r="G245" t="s">
        <v>21</v>
      </c>
      <c r="H245" t="s">
        <v>15</v>
      </c>
      <c r="I245" t="s">
        <v>28</v>
      </c>
      <c r="J245" t="s">
        <v>91</v>
      </c>
      <c r="K245" t="s">
        <v>104</v>
      </c>
      <c r="L245" s="5">
        <v>45800</v>
      </c>
      <c r="M245" s="7">
        <v>5.2083333333333336E-2</v>
      </c>
      <c r="N245" s="7">
        <v>0.40972222222222221</v>
      </c>
      <c r="O245" t="s">
        <v>99</v>
      </c>
      <c r="P245" t="s">
        <v>100</v>
      </c>
      <c r="Q245">
        <v>860</v>
      </c>
      <c r="R245">
        <v>24</v>
      </c>
      <c r="S245" t="s">
        <v>101</v>
      </c>
      <c r="T245">
        <v>50</v>
      </c>
      <c r="U245" t="s">
        <v>102</v>
      </c>
      <c r="V245" t="s">
        <v>96</v>
      </c>
      <c r="W245">
        <v>8400</v>
      </c>
    </row>
    <row r="246" spans="1:23" x14ac:dyDescent="0.35">
      <c r="A246" t="s">
        <v>463</v>
      </c>
      <c r="B246" t="s">
        <v>197</v>
      </c>
      <c r="C246">
        <v>38</v>
      </c>
      <c r="D246" t="s">
        <v>11</v>
      </c>
      <c r="E246" t="s">
        <v>37</v>
      </c>
      <c r="F246" t="s">
        <v>38</v>
      </c>
      <c r="G246" t="s">
        <v>21</v>
      </c>
      <c r="H246" t="s">
        <v>39</v>
      </c>
      <c r="I246" t="s">
        <v>40</v>
      </c>
      <c r="J246" t="s">
        <v>113</v>
      </c>
      <c r="K246" t="s">
        <v>114</v>
      </c>
      <c r="L246" s="5">
        <v>45801</v>
      </c>
      <c r="M246" s="7">
        <v>0.91666666666666663</v>
      </c>
      <c r="N246" s="7">
        <v>0.57291666666666663</v>
      </c>
      <c r="O246" t="s">
        <v>115</v>
      </c>
      <c r="P246" t="s">
        <v>100</v>
      </c>
      <c r="Q246">
        <v>1980</v>
      </c>
      <c r="R246">
        <v>27.5</v>
      </c>
      <c r="S246" t="s">
        <v>94</v>
      </c>
      <c r="T246">
        <v>0</v>
      </c>
      <c r="U246" t="s">
        <v>102</v>
      </c>
      <c r="V246" t="s">
        <v>103</v>
      </c>
      <c r="W246">
        <v>9700</v>
      </c>
    </row>
    <row r="247" spans="1:23" x14ac:dyDescent="0.35">
      <c r="A247" t="s">
        <v>464</v>
      </c>
      <c r="B247" t="s">
        <v>42</v>
      </c>
      <c r="C247">
        <v>31</v>
      </c>
      <c r="D247" t="s">
        <v>18</v>
      </c>
      <c r="E247" t="s">
        <v>43</v>
      </c>
      <c r="F247" t="s">
        <v>44</v>
      </c>
      <c r="G247" t="s">
        <v>21</v>
      </c>
      <c r="H247" t="s">
        <v>15</v>
      </c>
      <c r="I247" t="s">
        <v>45</v>
      </c>
      <c r="J247" t="s">
        <v>91</v>
      </c>
      <c r="K247" t="s">
        <v>116</v>
      </c>
      <c r="L247" s="5">
        <v>45801</v>
      </c>
      <c r="M247" s="7">
        <v>0.15625</v>
      </c>
      <c r="N247" s="7">
        <v>0.47222222222222221</v>
      </c>
      <c r="O247" t="s">
        <v>117</v>
      </c>
      <c r="P247" t="s">
        <v>118</v>
      </c>
      <c r="Q247">
        <v>980</v>
      </c>
      <c r="R247">
        <v>19.3</v>
      </c>
      <c r="S247" t="s">
        <v>94</v>
      </c>
      <c r="T247">
        <v>0</v>
      </c>
      <c r="U247" t="s">
        <v>95</v>
      </c>
      <c r="V247" t="s">
        <v>96</v>
      </c>
      <c r="W247">
        <v>5400</v>
      </c>
    </row>
    <row r="248" spans="1:23" x14ac:dyDescent="0.35">
      <c r="A248" t="s">
        <v>465</v>
      </c>
      <c r="B248" t="s">
        <v>231</v>
      </c>
      <c r="C248">
        <v>35</v>
      </c>
      <c r="D248" t="s">
        <v>11</v>
      </c>
      <c r="E248" t="s">
        <v>26</v>
      </c>
      <c r="F248" t="s">
        <v>232</v>
      </c>
      <c r="G248" t="s">
        <v>21</v>
      </c>
      <c r="H248" t="s">
        <v>22</v>
      </c>
      <c r="I248" t="s">
        <v>28</v>
      </c>
      <c r="J248" t="s">
        <v>97</v>
      </c>
      <c r="K248" t="s">
        <v>104</v>
      </c>
      <c r="L248" s="5">
        <v>45802</v>
      </c>
      <c r="M248" s="7">
        <v>9.0277777777777776E-2</v>
      </c>
      <c r="N248" s="7">
        <v>0.36805555555555558</v>
      </c>
      <c r="O248" t="s">
        <v>119</v>
      </c>
      <c r="P248" t="s">
        <v>100</v>
      </c>
      <c r="Q248">
        <v>1800</v>
      </c>
      <c r="R248">
        <v>26.5</v>
      </c>
      <c r="S248" t="s">
        <v>94</v>
      </c>
      <c r="T248">
        <v>0</v>
      </c>
      <c r="U248" t="s">
        <v>107</v>
      </c>
      <c r="V248" t="s">
        <v>103</v>
      </c>
      <c r="W248">
        <v>12000</v>
      </c>
    </row>
    <row r="249" spans="1:23" x14ac:dyDescent="0.35">
      <c r="A249" t="s">
        <v>466</v>
      </c>
      <c r="B249" t="s">
        <v>234</v>
      </c>
      <c r="C249">
        <v>28</v>
      </c>
      <c r="D249" t="s">
        <v>18</v>
      </c>
      <c r="E249" t="s">
        <v>12</v>
      </c>
      <c r="F249" s="3" t="s">
        <v>235</v>
      </c>
      <c r="G249" t="s">
        <v>13</v>
      </c>
      <c r="H249" t="s">
        <v>14</v>
      </c>
      <c r="I249" t="s">
        <v>15</v>
      </c>
      <c r="J249" t="s">
        <v>90</v>
      </c>
      <c r="K249" t="s">
        <v>91</v>
      </c>
      <c r="L249" s="5">
        <v>45802</v>
      </c>
      <c r="M249" s="7">
        <v>0.28125</v>
      </c>
      <c r="N249" s="7">
        <v>0.3888888888888889</v>
      </c>
      <c r="O249" t="s">
        <v>236</v>
      </c>
      <c r="P249" t="s">
        <v>93</v>
      </c>
      <c r="Q249">
        <v>150</v>
      </c>
      <c r="R249">
        <v>11.2</v>
      </c>
      <c r="S249" t="s">
        <v>101</v>
      </c>
      <c r="T249">
        <v>30</v>
      </c>
      <c r="U249" t="s">
        <v>102</v>
      </c>
      <c r="V249" t="s">
        <v>96</v>
      </c>
      <c r="W249">
        <v>3200</v>
      </c>
    </row>
    <row r="250" spans="1:23" x14ac:dyDescent="0.35">
      <c r="A250" t="s">
        <v>467</v>
      </c>
      <c r="B250" t="s">
        <v>25</v>
      </c>
      <c r="C250">
        <v>41</v>
      </c>
      <c r="D250" t="s">
        <v>11</v>
      </c>
      <c r="E250" t="s">
        <v>26</v>
      </c>
      <c r="F250" t="s">
        <v>27</v>
      </c>
      <c r="G250" t="s">
        <v>21</v>
      </c>
      <c r="H250" t="s">
        <v>15</v>
      </c>
      <c r="I250" t="s">
        <v>28</v>
      </c>
      <c r="J250" t="s">
        <v>91</v>
      </c>
      <c r="K250" t="s">
        <v>104</v>
      </c>
      <c r="L250" s="5">
        <v>45803</v>
      </c>
      <c r="M250" s="7">
        <v>5.5555555555555552E-2</v>
      </c>
      <c r="N250" s="7">
        <v>0.41319444444444442</v>
      </c>
      <c r="O250" t="s">
        <v>105</v>
      </c>
      <c r="P250" t="s">
        <v>106</v>
      </c>
      <c r="Q250">
        <v>2450</v>
      </c>
      <c r="R250">
        <v>30.2</v>
      </c>
      <c r="S250" t="s">
        <v>94</v>
      </c>
      <c r="T250">
        <v>0</v>
      </c>
      <c r="U250" t="s">
        <v>107</v>
      </c>
      <c r="V250" t="s">
        <v>103</v>
      </c>
      <c r="W250">
        <v>13200</v>
      </c>
    </row>
    <row r="251" spans="1:23" x14ac:dyDescent="0.35">
      <c r="A251" t="s">
        <v>468</v>
      </c>
      <c r="B251" t="s">
        <v>30</v>
      </c>
      <c r="C251">
        <v>25</v>
      </c>
      <c r="D251" t="s">
        <v>18</v>
      </c>
      <c r="E251" t="s">
        <v>31</v>
      </c>
      <c r="F251" t="s">
        <v>32</v>
      </c>
      <c r="G251" t="s">
        <v>21</v>
      </c>
      <c r="H251" t="s">
        <v>33</v>
      </c>
      <c r="I251" t="s">
        <v>34</v>
      </c>
      <c r="J251" t="s">
        <v>108</v>
      </c>
      <c r="K251" t="s">
        <v>109</v>
      </c>
      <c r="L251" s="5">
        <v>45803</v>
      </c>
      <c r="M251" s="7">
        <v>0.34027777777777779</v>
      </c>
      <c r="N251" s="7">
        <v>0.58333333333333337</v>
      </c>
      <c r="O251" t="s">
        <v>110</v>
      </c>
      <c r="P251" t="s">
        <v>93</v>
      </c>
      <c r="Q251">
        <v>420</v>
      </c>
      <c r="R251">
        <v>15.6</v>
      </c>
      <c r="S251" t="s">
        <v>111</v>
      </c>
      <c r="T251">
        <v>0</v>
      </c>
      <c r="U251" t="s">
        <v>95</v>
      </c>
      <c r="V251" t="s">
        <v>112</v>
      </c>
      <c r="W251">
        <v>3500</v>
      </c>
    </row>
    <row r="252" spans="1:23" x14ac:dyDescent="0.35">
      <c r="A252" t="s">
        <v>469</v>
      </c>
      <c r="B252" t="s">
        <v>36</v>
      </c>
      <c r="C252">
        <v>38</v>
      </c>
      <c r="D252" t="s">
        <v>11</v>
      </c>
      <c r="E252" t="s">
        <v>37</v>
      </c>
      <c r="F252" t="s">
        <v>38</v>
      </c>
      <c r="G252" t="s">
        <v>21</v>
      </c>
      <c r="H252" t="s">
        <v>39</v>
      </c>
      <c r="I252" t="s">
        <v>40</v>
      </c>
      <c r="J252" t="s">
        <v>113</v>
      </c>
      <c r="K252" t="s">
        <v>114</v>
      </c>
      <c r="L252" s="5">
        <v>45804</v>
      </c>
      <c r="M252" s="7">
        <v>0.91666666666666663</v>
      </c>
      <c r="N252" s="7">
        <v>0.57291666666666663</v>
      </c>
      <c r="O252" t="s">
        <v>115</v>
      </c>
      <c r="P252" t="s">
        <v>100</v>
      </c>
      <c r="Q252">
        <v>1980</v>
      </c>
      <c r="R252">
        <v>27.5</v>
      </c>
      <c r="S252" t="s">
        <v>94</v>
      </c>
      <c r="T252">
        <v>0</v>
      </c>
      <c r="U252" t="s">
        <v>102</v>
      </c>
      <c r="V252" t="s">
        <v>103</v>
      </c>
      <c r="W252">
        <v>9700</v>
      </c>
    </row>
    <row r="253" spans="1:23" x14ac:dyDescent="0.35">
      <c r="A253" t="s">
        <v>470</v>
      </c>
      <c r="B253" t="s">
        <v>42</v>
      </c>
      <c r="C253">
        <v>31</v>
      </c>
      <c r="D253" t="s">
        <v>18</v>
      </c>
      <c r="E253" t="s">
        <v>43</v>
      </c>
      <c r="F253" t="s">
        <v>44</v>
      </c>
      <c r="G253" t="s">
        <v>21</v>
      </c>
      <c r="H253" t="s">
        <v>15</v>
      </c>
      <c r="I253" t="s">
        <v>45</v>
      </c>
      <c r="J253" t="s">
        <v>91</v>
      </c>
      <c r="K253" t="s">
        <v>116</v>
      </c>
      <c r="L253" s="5">
        <v>45804</v>
      </c>
      <c r="M253" s="7">
        <v>0.15625</v>
      </c>
      <c r="N253" s="7">
        <v>0.47222222222222221</v>
      </c>
      <c r="O253" t="s">
        <v>117</v>
      </c>
      <c r="P253" t="s">
        <v>118</v>
      </c>
      <c r="Q253">
        <v>980</v>
      </c>
      <c r="R253">
        <v>19.3</v>
      </c>
      <c r="S253" t="s">
        <v>101</v>
      </c>
      <c r="T253">
        <v>35</v>
      </c>
      <c r="U253" t="s">
        <v>95</v>
      </c>
      <c r="V253" t="s">
        <v>96</v>
      </c>
      <c r="W253">
        <v>5400</v>
      </c>
    </row>
    <row r="254" spans="1:23" x14ac:dyDescent="0.35">
      <c r="A254" t="s">
        <v>471</v>
      </c>
      <c r="B254" t="s">
        <v>47</v>
      </c>
      <c r="C254">
        <v>45</v>
      </c>
      <c r="D254" t="s">
        <v>11</v>
      </c>
      <c r="E254" t="s">
        <v>48</v>
      </c>
      <c r="F254" t="s">
        <v>49</v>
      </c>
      <c r="G254" t="s">
        <v>21</v>
      </c>
      <c r="H254" t="s">
        <v>14</v>
      </c>
      <c r="I254" t="s">
        <v>28</v>
      </c>
      <c r="J254" t="s">
        <v>90</v>
      </c>
      <c r="K254" t="s">
        <v>104</v>
      </c>
      <c r="L254" s="5">
        <v>45805</v>
      </c>
      <c r="M254" s="7">
        <v>0.42708333333333331</v>
      </c>
      <c r="N254" s="7">
        <v>0.77083333333333337</v>
      </c>
      <c r="O254" t="s">
        <v>119</v>
      </c>
      <c r="P254" t="s">
        <v>100</v>
      </c>
      <c r="Q254">
        <v>1650</v>
      </c>
      <c r="R254">
        <v>26.8</v>
      </c>
      <c r="S254" t="s">
        <v>94</v>
      </c>
      <c r="T254">
        <v>0</v>
      </c>
      <c r="U254" t="s">
        <v>107</v>
      </c>
      <c r="V254" t="s">
        <v>103</v>
      </c>
      <c r="W254">
        <v>11000</v>
      </c>
    </row>
    <row r="255" spans="1:23" x14ac:dyDescent="0.35">
      <c r="A255" t="s">
        <v>472</v>
      </c>
      <c r="B255" t="s">
        <v>51</v>
      </c>
      <c r="C255">
        <v>27</v>
      </c>
      <c r="D255" t="s">
        <v>18</v>
      </c>
      <c r="E255" t="s">
        <v>52</v>
      </c>
      <c r="F255" t="s">
        <v>53</v>
      </c>
      <c r="G255" t="s">
        <v>21</v>
      </c>
      <c r="H255" t="s">
        <v>22</v>
      </c>
      <c r="I255" t="s">
        <v>40</v>
      </c>
      <c r="J255" t="s">
        <v>97</v>
      </c>
      <c r="K255" t="s">
        <v>114</v>
      </c>
      <c r="L255" s="5">
        <v>45805</v>
      </c>
      <c r="M255" s="7">
        <v>0.24305555555555555</v>
      </c>
      <c r="N255" s="7">
        <v>0.72222222222222221</v>
      </c>
      <c r="O255" t="s">
        <v>120</v>
      </c>
      <c r="P255" t="s">
        <v>93</v>
      </c>
      <c r="Q255">
        <v>740</v>
      </c>
      <c r="R255">
        <v>17.2</v>
      </c>
      <c r="S255" t="s">
        <v>111</v>
      </c>
      <c r="T255">
        <v>0</v>
      </c>
      <c r="U255" t="s">
        <v>95</v>
      </c>
      <c r="V255" t="s">
        <v>96</v>
      </c>
      <c r="W255">
        <v>4100</v>
      </c>
    </row>
    <row r="256" spans="1:23" x14ac:dyDescent="0.35">
      <c r="A256" t="s">
        <v>473</v>
      </c>
      <c r="B256" t="s">
        <v>55</v>
      </c>
      <c r="C256">
        <v>36</v>
      </c>
      <c r="D256" t="s">
        <v>11</v>
      </c>
      <c r="E256" t="s">
        <v>12</v>
      </c>
      <c r="F256" s="3" t="s">
        <v>56</v>
      </c>
      <c r="G256" t="s">
        <v>13</v>
      </c>
      <c r="H256" t="s">
        <v>57</v>
      </c>
      <c r="I256" t="s">
        <v>33</v>
      </c>
      <c r="J256" t="s">
        <v>121</v>
      </c>
      <c r="K256" t="s">
        <v>108</v>
      </c>
      <c r="L256" s="5">
        <v>45806</v>
      </c>
      <c r="M256" s="7">
        <v>0.60069444444444442</v>
      </c>
      <c r="N256" s="7">
        <v>0.71527777777777779</v>
      </c>
      <c r="O256" t="s">
        <v>122</v>
      </c>
      <c r="P256" t="s">
        <v>93</v>
      </c>
      <c r="Q256">
        <v>125</v>
      </c>
      <c r="R256">
        <v>12</v>
      </c>
      <c r="S256" t="s">
        <v>94</v>
      </c>
      <c r="T256">
        <v>0</v>
      </c>
      <c r="U256" t="s">
        <v>102</v>
      </c>
      <c r="V256" t="s">
        <v>103</v>
      </c>
      <c r="W256">
        <v>1800</v>
      </c>
    </row>
    <row r="257" spans="1:23" x14ac:dyDescent="0.35">
      <c r="A257" t="s">
        <v>474</v>
      </c>
      <c r="B257" t="s">
        <v>59</v>
      </c>
      <c r="C257">
        <v>30</v>
      </c>
      <c r="D257" t="s">
        <v>18</v>
      </c>
      <c r="E257" t="s">
        <v>19</v>
      </c>
      <c r="F257" t="s">
        <v>60</v>
      </c>
      <c r="G257" t="s">
        <v>13</v>
      </c>
      <c r="H257" t="s">
        <v>15</v>
      </c>
      <c r="I257" t="s">
        <v>14</v>
      </c>
      <c r="J257" t="s">
        <v>91</v>
      </c>
      <c r="K257" t="s">
        <v>90</v>
      </c>
      <c r="L257" s="5">
        <v>45806</v>
      </c>
      <c r="M257" s="7">
        <v>0.40277777777777779</v>
      </c>
      <c r="N257" s="7">
        <v>0.51736111111111116</v>
      </c>
      <c r="O257" t="s">
        <v>123</v>
      </c>
      <c r="P257" t="s">
        <v>118</v>
      </c>
      <c r="Q257">
        <v>310</v>
      </c>
      <c r="R257">
        <v>20.5</v>
      </c>
      <c r="S257" t="s">
        <v>101</v>
      </c>
      <c r="T257">
        <v>35</v>
      </c>
      <c r="U257" t="s">
        <v>95</v>
      </c>
      <c r="V257" t="s">
        <v>96</v>
      </c>
      <c r="W257">
        <v>6200</v>
      </c>
    </row>
    <row r="258" spans="1:23" x14ac:dyDescent="0.35">
      <c r="A258" t="s">
        <v>475</v>
      </c>
      <c r="B258" t="s">
        <v>62</v>
      </c>
      <c r="C258">
        <v>52</v>
      </c>
      <c r="D258" t="s">
        <v>11</v>
      </c>
      <c r="E258" t="s">
        <v>26</v>
      </c>
      <c r="F258" t="s">
        <v>63</v>
      </c>
      <c r="G258" t="s">
        <v>21</v>
      </c>
      <c r="H258" t="s">
        <v>22</v>
      </c>
      <c r="I258" t="s">
        <v>23</v>
      </c>
      <c r="J258" t="s">
        <v>97</v>
      </c>
      <c r="K258" t="s">
        <v>98</v>
      </c>
      <c r="L258" s="5">
        <v>45807</v>
      </c>
      <c r="M258" s="7">
        <v>0.96875</v>
      </c>
      <c r="N258" s="7">
        <v>0.12152777777777778</v>
      </c>
      <c r="O258" t="s">
        <v>124</v>
      </c>
      <c r="P258" t="s">
        <v>100</v>
      </c>
      <c r="Q258">
        <v>1200</v>
      </c>
      <c r="R258">
        <v>28</v>
      </c>
      <c r="S258" t="s">
        <v>94</v>
      </c>
      <c r="T258">
        <v>0</v>
      </c>
      <c r="U258" t="s">
        <v>107</v>
      </c>
      <c r="V258" t="s">
        <v>125</v>
      </c>
      <c r="W258">
        <v>14000</v>
      </c>
    </row>
    <row r="259" spans="1:23" x14ac:dyDescent="0.35">
      <c r="A259" t="s">
        <v>476</v>
      </c>
      <c r="B259" t="s">
        <v>65</v>
      </c>
      <c r="C259">
        <v>24</v>
      </c>
      <c r="D259" t="s">
        <v>18</v>
      </c>
      <c r="E259" t="s">
        <v>12</v>
      </c>
      <c r="F259" s="3" t="s">
        <v>66</v>
      </c>
      <c r="G259" t="s">
        <v>13</v>
      </c>
      <c r="H259" t="s">
        <v>39</v>
      </c>
      <c r="I259" t="s">
        <v>15</v>
      </c>
      <c r="J259" t="s">
        <v>113</v>
      </c>
      <c r="K259" t="s">
        <v>91</v>
      </c>
      <c r="L259" s="5">
        <v>45807</v>
      </c>
      <c r="M259" s="7">
        <v>0.25694444444444442</v>
      </c>
      <c r="N259" s="7">
        <v>0.3611111111111111</v>
      </c>
      <c r="O259" t="s">
        <v>126</v>
      </c>
      <c r="P259" t="s">
        <v>93</v>
      </c>
      <c r="Q259">
        <v>160</v>
      </c>
      <c r="R259">
        <v>10.4</v>
      </c>
      <c r="S259" t="s">
        <v>111</v>
      </c>
      <c r="T259">
        <v>0</v>
      </c>
      <c r="U259" t="s">
        <v>102</v>
      </c>
      <c r="V259" t="s">
        <v>112</v>
      </c>
      <c r="W259">
        <v>900</v>
      </c>
    </row>
    <row r="260" spans="1:23" x14ac:dyDescent="0.35">
      <c r="A260" t="s">
        <v>477</v>
      </c>
      <c r="B260" t="s">
        <v>68</v>
      </c>
      <c r="C260">
        <v>40</v>
      </c>
      <c r="D260" t="s">
        <v>11</v>
      </c>
      <c r="E260" t="s">
        <v>37</v>
      </c>
      <c r="F260" t="s">
        <v>69</v>
      </c>
      <c r="G260" t="s">
        <v>21</v>
      </c>
      <c r="H260" t="s">
        <v>33</v>
      </c>
      <c r="I260" t="s">
        <v>34</v>
      </c>
      <c r="J260" t="s">
        <v>108</v>
      </c>
      <c r="K260" t="s">
        <v>109</v>
      </c>
      <c r="L260" s="5">
        <v>45808</v>
      </c>
      <c r="M260" s="7">
        <v>0.84722222222222221</v>
      </c>
      <c r="N260" s="7">
        <v>9.0277777777777776E-2</v>
      </c>
      <c r="O260" t="s">
        <v>127</v>
      </c>
      <c r="P260" t="s">
        <v>100</v>
      </c>
      <c r="Q260">
        <v>1340</v>
      </c>
      <c r="R260">
        <v>22.6</v>
      </c>
      <c r="S260" t="s">
        <v>94</v>
      </c>
      <c r="T260">
        <v>0</v>
      </c>
      <c r="U260" t="s">
        <v>95</v>
      </c>
      <c r="V260" t="s">
        <v>103</v>
      </c>
      <c r="W260">
        <v>8700</v>
      </c>
    </row>
    <row r="261" spans="1:23" x14ac:dyDescent="0.35">
      <c r="A261" t="s">
        <v>478</v>
      </c>
      <c r="B261" t="s">
        <v>71</v>
      </c>
      <c r="C261">
        <v>33</v>
      </c>
      <c r="D261" t="s">
        <v>18</v>
      </c>
      <c r="E261" t="s">
        <v>43</v>
      </c>
      <c r="F261" t="s">
        <v>72</v>
      </c>
      <c r="G261" t="s">
        <v>21</v>
      </c>
      <c r="H261" t="s">
        <v>15</v>
      </c>
      <c r="I261" t="s">
        <v>40</v>
      </c>
      <c r="J261" t="s">
        <v>91</v>
      </c>
      <c r="K261" t="s">
        <v>114</v>
      </c>
      <c r="L261" s="5">
        <v>45808</v>
      </c>
      <c r="M261" s="7">
        <v>0.11805555555555555</v>
      </c>
      <c r="N261" s="7">
        <v>0.64583333333333337</v>
      </c>
      <c r="O261" t="s">
        <v>128</v>
      </c>
      <c r="P261" t="s">
        <v>106</v>
      </c>
      <c r="Q261">
        <v>2600</v>
      </c>
      <c r="R261">
        <v>31.4</v>
      </c>
      <c r="S261" t="s">
        <v>101</v>
      </c>
      <c r="T261">
        <v>90</v>
      </c>
      <c r="U261" t="s">
        <v>107</v>
      </c>
      <c r="V261" t="s">
        <v>96</v>
      </c>
      <c r="W261">
        <v>15000</v>
      </c>
    </row>
    <row r="262" spans="1:23" x14ac:dyDescent="0.35">
      <c r="A262" t="s">
        <v>479</v>
      </c>
      <c r="B262" t="s">
        <v>74</v>
      </c>
      <c r="C262">
        <v>47</v>
      </c>
      <c r="D262" t="s">
        <v>11</v>
      </c>
      <c r="E262" t="s">
        <v>19</v>
      </c>
      <c r="F262" t="s">
        <v>75</v>
      </c>
      <c r="G262" t="s">
        <v>21</v>
      </c>
      <c r="H262" t="s">
        <v>14</v>
      </c>
      <c r="I262" t="s">
        <v>23</v>
      </c>
      <c r="J262" t="s">
        <v>90</v>
      </c>
      <c r="K262" t="s">
        <v>98</v>
      </c>
      <c r="L262" s="5">
        <v>45809</v>
      </c>
      <c r="M262" s="7">
        <v>0.54513888888888884</v>
      </c>
      <c r="N262" s="7">
        <v>0.71875</v>
      </c>
      <c r="O262" t="s">
        <v>129</v>
      </c>
      <c r="P262" t="s">
        <v>93</v>
      </c>
      <c r="Q262">
        <v>390</v>
      </c>
      <c r="R262">
        <v>16.100000000000001</v>
      </c>
      <c r="S262" t="s">
        <v>94</v>
      </c>
      <c r="T262">
        <v>0</v>
      </c>
      <c r="U262" t="s">
        <v>95</v>
      </c>
      <c r="V262" t="s">
        <v>103</v>
      </c>
      <c r="W262">
        <v>3000</v>
      </c>
    </row>
    <row r="263" spans="1:23" x14ac:dyDescent="0.35">
      <c r="A263" t="s">
        <v>480</v>
      </c>
      <c r="B263" t="s">
        <v>131</v>
      </c>
      <c r="C263">
        <v>28</v>
      </c>
      <c r="D263" t="s">
        <v>18</v>
      </c>
      <c r="E263" t="s">
        <v>52</v>
      </c>
      <c r="F263" t="s">
        <v>132</v>
      </c>
      <c r="G263" t="s">
        <v>21</v>
      </c>
      <c r="H263" t="s">
        <v>33</v>
      </c>
      <c r="I263" t="s">
        <v>28</v>
      </c>
      <c r="J263" t="s">
        <v>108</v>
      </c>
      <c r="K263" t="s">
        <v>104</v>
      </c>
      <c r="L263" s="5">
        <v>45809</v>
      </c>
      <c r="M263" s="7">
        <v>0.32291666666666669</v>
      </c>
      <c r="N263" s="7">
        <v>0.75694444444444442</v>
      </c>
      <c r="O263" t="s">
        <v>133</v>
      </c>
      <c r="P263" t="s">
        <v>118</v>
      </c>
      <c r="Q263">
        <v>980</v>
      </c>
      <c r="R263">
        <v>21</v>
      </c>
      <c r="S263" t="s">
        <v>111</v>
      </c>
      <c r="T263">
        <v>0</v>
      </c>
      <c r="U263" t="s">
        <v>102</v>
      </c>
      <c r="V263" t="s">
        <v>96</v>
      </c>
      <c r="W263">
        <v>7200</v>
      </c>
    </row>
    <row r="264" spans="1:23" x14ac:dyDescent="0.35">
      <c r="A264" t="s">
        <v>481</v>
      </c>
      <c r="B264" t="s">
        <v>135</v>
      </c>
      <c r="C264">
        <v>39</v>
      </c>
      <c r="D264" t="s">
        <v>11</v>
      </c>
      <c r="E264" t="s">
        <v>12</v>
      </c>
      <c r="F264" s="3" t="s">
        <v>136</v>
      </c>
      <c r="G264" t="s">
        <v>13</v>
      </c>
      <c r="H264" t="s">
        <v>15</v>
      </c>
      <c r="I264" t="s">
        <v>22</v>
      </c>
      <c r="J264" t="s">
        <v>91</v>
      </c>
      <c r="K264" t="s">
        <v>97</v>
      </c>
      <c r="L264" s="5">
        <v>45810</v>
      </c>
      <c r="M264" s="7">
        <v>0.47916666666666669</v>
      </c>
      <c r="N264" s="7">
        <v>0.56944444444444442</v>
      </c>
      <c r="O264" t="s">
        <v>137</v>
      </c>
      <c r="P264" t="s">
        <v>93</v>
      </c>
      <c r="Q264">
        <v>110</v>
      </c>
      <c r="R264">
        <v>8.6</v>
      </c>
      <c r="S264" t="s">
        <v>94</v>
      </c>
      <c r="T264">
        <v>0</v>
      </c>
      <c r="U264" t="s">
        <v>95</v>
      </c>
      <c r="V264" t="s">
        <v>103</v>
      </c>
      <c r="W264">
        <v>1500</v>
      </c>
    </row>
    <row r="265" spans="1:23" x14ac:dyDescent="0.35">
      <c r="A265" t="s">
        <v>482</v>
      </c>
      <c r="B265" t="s">
        <v>139</v>
      </c>
      <c r="C265">
        <v>26</v>
      </c>
      <c r="D265" t="s">
        <v>18</v>
      </c>
      <c r="E265" t="s">
        <v>19</v>
      </c>
      <c r="F265" t="s">
        <v>140</v>
      </c>
      <c r="G265" t="s">
        <v>13</v>
      </c>
      <c r="H265" t="s">
        <v>57</v>
      </c>
      <c r="I265" t="s">
        <v>39</v>
      </c>
      <c r="J265" t="s">
        <v>121</v>
      </c>
      <c r="K265" t="s">
        <v>113</v>
      </c>
      <c r="L265" s="5">
        <v>45810</v>
      </c>
      <c r="M265" s="7">
        <v>0.66666666666666663</v>
      </c>
      <c r="N265" s="7">
        <v>0.76736111111111116</v>
      </c>
      <c r="O265" t="s">
        <v>141</v>
      </c>
      <c r="P265" t="s">
        <v>93</v>
      </c>
      <c r="Q265">
        <v>140</v>
      </c>
      <c r="R265">
        <v>11.2</v>
      </c>
      <c r="S265" t="s">
        <v>101</v>
      </c>
      <c r="T265">
        <v>20</v>
      </c>
      <c r="U265" t="s">
        <v>95</v>
      </c>
      <c r="V265" t="s">
        <v>96</v>
      </c>
      <c r="W265">
        <v>2700</v>
      </c>
    </row>
    <row r="266" spans="1:23" x14ac:dyDescent="0.35">
      <c r="A266" t="s">
        <v>483</v>
      </c>
      <c r="B266" t="s">
        <v>143</v>
      </c>
      <c r="C266">
        <v>50</v>
      </c>
      <c r="D266" t="s">
        <v>11</v>
      </c>
      <c r="E266" t="s">
        <v>26</v>
      </c>
      <c r="F266" t="s">
        <v>144</v>
      </c>
      <c r="G266" t="s">
        <v>21</v>
      </c>
      <c r="H266" t="s">
        <v>14</v>
      </c>
      <c r="I266" t="s">
        <v>34</v>
      </c>
      <c r="J266" t="s">
        <v>90</v>
      </c>
      <c r="K266" t="s">
        <v>109</v>
      </c>
      <c r="L266" s="5">
        <v>45811</v>
      </c>
      <c r="M266" s="7">
        <v>0.88194444444444442</v>
      </c>
      <c r="N266" s="7">
        <v>0.2013888888888889</v>
      </c>
      <c r="O266" t="s">
        <v>145</v>
      </c>
      <c r="P266" t="s">
        <v>100</v>
      </c>
      <c r="Q266">
        <v>1450</v>
      </c>
      <c r="R266">
        <v>25.9</v>
      </c>
      <c r="S266" t="s">
        <v>94</v>
      </c>
      <c r="T266">
        <v>0</v>
      </c>
      <c r="U266" t="s">
        <v>107</v>
      </c>
      <c r="V266" t="s">
        <v>125</v>
      </c>
      <c r="W266">
        <v>11800</v>
      </c>
    </row>
    <row r="267" spans="1:23" x14ac:dyDescent="0.35">
      <c r="A267" t="s">
        <v>484</v>
      </c>
      <c r="B267" t="s">
        <v>222</v>
      </c>
      <c r="C267">
        <v>31</v>
      </c>
      <c r="D267" t="s">
        <v>18</v>
      </c>
      <c r="E267" t="s">
        <v>31</v>
      </c>
      <c r="F267" t="s">
        <v>148</v>
      </c>
      <c r="G267" t="s">
        <v>21</v>
      </c>
      <c r="H267" t="s">
        <v>15</v>
      </c>
      <c r="I267" t="s">
        <v>23</v>
      </c>
      <c r="J267" t="s">
        <v>91</v>
      </c>
      <c r="K267" t="s">
        <v>98</v>
      </c>
      <c r="L267" s="5">
        <v>45811</v>
      </c>
      <c r="M267" s="7">
        <v>0.18402777777777779</v>
      </c>
      <c r="N267" s="7">
        <v>0.33333333333333331</v>
      </c>
      <c r="O267" t="s">
        <v>149</v>
      </c>
      <c r="P267" t="s">
        <v>93</v>
      </c>
      <c r="Q267">
        <v>330</v>
      </c>
      <c r="R267">
        <v>13.5</v>
      </c>
      <c r="S267" t="s">
        <v>111</v>
      </c>
      <c r="T267">
        <v>0</v>
      </c>
      <c r="U267" t="s">
        <v>102</v>
      </c>
      <c r="V267" t="s">
        <v>112</v>
      </c>
      <c r="W267">
        <v>2100</v>
      </c>
    </row>
    <row r="268" spans="1:23" x14ac:dyDescent="0.35">
      <c r="A268" t="s">
        <v>485</v>
      </c>
      <c r="B268" t="s">
        <v>224</v>
      </c>
      <c r="C268">
        <v>44</v>
      </c>
      <c r="D268" t="s">
        <v>11</v>
      </c>
      <c r="E268" t="s">
        <v>12</v>
      </c>
      <c r="F268" s="3" t="s">
        <v>225</v>
      </c>
      <c r="G268" t="s">
        <v>13</v>
      </c>
      <c r="H268" t="s">
        <v>22</v>
      </c>
      <c r="I268" t="s">
        <v>57</v>
      </c>
      <c r="J268" t="s">
        <v>97</v>
      </c>
      <c r="K268" t="s">
        <v>121</v>
      </c>
      <c r="L268" s="5">
        <v>45812</v>
      </c>
      <c r="M268" s="7">
        <v>0.38194444444444442</v>
      </c>
      <c r="N268" s="7">
        <v>0.4861111111111111</v>
      </c>
      <c r="O268" t="s">
        <v>226</v>
      </c>
      <c r="P268" t="s">
        <v>93</v>
      </c>
      <c r="Q268">
        <v>125</v>
      </c>
      <c r="R268">
        <v>12</v>
      </c>
      <c r="S268" t="s">
        <v>94</v>
      </c>
      <c r="T268">
        <v>0</v>
      </c>
      <c r="U268" t="s">
        <v>95</v>
      </c>
      <c r="V268" t="s">
        <v>103</v>
      </c>
      <c r="W268">
        <v>2100</v>
      </c>
    </row>
    <row r="269" spans="1:23" x14ac:dyDescent="0.35">
      <c r="A269" t="s">
        <v>486</v>
      </c>
      <c r="B269" t="s">
        <v>30</v>
      </c>
      <c r="C269">
        <v>25</v>
      </c>
      <c r="D269" t="s">
        <v>18</v>
      </c>
      <c r="E269" t="s">
        <v>19</v>
      </c>
      <c r="F269" t="s">
        <v>20</v>
      </c>
      <c r="G269" t="s">
        <v>21</v>
      </c>
      <c r="H269" t="s">
        <v>15</v>
      </c>
      <c r="I269" t="s">
        <v>28</v>
      </c>
      <c r="J269" t="s">
        <v>91</v>
      </c>
      <c r="K269" t="s">
        <v>104</v>
      </c>
      <c r="L269" s="5">
        <v>45812</v>
      </c>
      <c r="M269" s="7">
        <v>5.2083333333333336E-2</v>
      </c>
      <c r="N269" s="7">
        <v>0.40972222222222221</v>
      </c>
      <c r="O269" t="s">
        <v>99</v>
      </c>
      <c r="P269" t="s">
        <v>100</v>
      </c>
      <c r="Q269">
        <v>860</v>
      </c>
      <c r="R269">
        <v>24</v>
      </c>
      <c r="S269" t="s">
        <v>101</v>
      </c>
      <c r="T269">
        <v>50</v>
      </c>
      <c r="U269" t="s">
        <v>102</v>
      </c>
      <c r="V269" t="s">
        <v>96</v>
      </c>
      <c r="W269">
        <v>8400</v>
      </c>
    </row>
    <row r="270" spans="1:23" x14ac:dyDescent="0.35">
      <c r="A270" t="s">
        <v>487</v>
      </c>
      <c r="B270" t="s">
        <v>197</v>
      </c>
      <c r="C270">
        <v>38</v>
      </c>
      <c r="D270" t="s">
        <v>11</v>
      </c>
      <c r="E270" t="s">
        <v>37</v>
      </c>
      <c r="F270" t="s">
        <v>38</v>
      </c>
      <c r="G270" t="s">
        <v>21</v>
      </c>
      <c r="H270" t="s">
        <v>39</v>
      </c>
      <c r="I270" t="s">
        <v>40</v>
      </c>
      <c r="J270" t="s">
        <v>113</v>
      </c>
      <c r="K270" t="s">
        <v>114</v>
      </c>
      <c r="L270" s="5">
        <v>45813</v>
      </c>
      <c r="M270" s="7">
        <v>0.91666666666666663</v>
      </c>
      <c r="N270" s="7">
        <v>0.57291666666666663</v>
      </c>
      <c r="O270" t="s">
        <v>115</v>
      </c>
      <c r="P270" t="s">
        <v>100</v>
      </c>
      <c r="Q270">
        <v>1980</v>
      </c>
      <c r="R270">
        <v>27.5</v>
      </c>
      <c r="S270" t="s">
        <v>94</v>
      </c>
      <c r="T270">
        <v>0</v>
      </c>
      <c r="U270" t="s">
        <v>102</v>
      </c>
      <c r="V270" t="s">
        <v>103</v>
      </c>
      <c r="W270">
        <v>9700</v>
      </c>
    </row>
    <row r="271" spans="1:23" x14ac:dyDescent="0.35">
      <c r="A271" t="s">
        <v>488</v>
      </c>
      <c r="B271" t="s">
        <v>42</v>
      </c>
      <c r="C271">
        <v>31</v>
      </c>
      <c r="D271" t="s">
        <v>18</v>
      </c>
      <c r="E271" t="s">
        <v>43</v>
      </c>
      <c r="F271" t="s">
        <v>44</v>
      </c>
      <c r="G271" t="s">
        <v>21</v>
      </c>
      <c r="H271" t="s">
        <v>15</v>
      </c>
      <c r="I271" t="s">
        <v>45</v>
      </c>
      <c r="J271" t="s">
        <v>91</v>
      </c>
      <c r="K271" t="s">
        <v>116</v>
      </c>
      <c r="L271" s="5">
        <v>45813</v>
      </c>
      <c r="M271" s="7">
        <v>0.15625</v>
      </c>
      <c r="N271" s="7">
        <v>0.47222222222222221</v>
      </c>
      <c r="O271" t="s">
        <v>117</v>
      </c>
      <c r="P271" t="s">
        <v>118</v>
      </c>
      <c r="Q271">
        <v>980</v>
      </c>
      <c r="R271">
        <v>19.3</v>
      </c>
      <c r="S271" t="s">
        <v>94</v>
      </c>
      <c r="T271">
        <v>0</v>
      </c>
      <c r="U271" t="s">
        <v>95</v>
      </c>
      <c r="V271" t="s">
        <v>96</v>
      </c>
      <c r="W271">
        <v>5400</v>
      </c>
    </row>
    <row r="272" spans="1:23" x14ac:dyDescent="0.35">
      <c r="A272" t="s">
        <v>489</v>
      </c>
      <c r="B272" t="s">
        <v>231</v>
      </c>
      <c r="C272">
        <v>35</v>
      </c>
      <c r="D272" t="s">
        <v>11</v>
      </c>
      <c r="E272" t="s">
        <v>26</v>
      </c>
      <c r="F272" t="s">
        <v>232</v>
      </c>
      <c r="G272" t="s">
        <v>21</v>
      </c>
      <c r="H272" t="s">
        <v>22</v>
      </c>
      <c r="I272" t="s">
        <v>28</v>
      </c>
      <c r="J272" t="s">
        <v>97</v>
      </c>
      <c r="K272" t="s">
        <v>104</v>
      </c>
      <c r="L272" s="5">
        <v>45814</v>
      </c>
      <c r="M272" s="7">
        <v>9.0277777777777776E-2</v>
      </c>
      <c r="N272" s="7">
        <v>0.36805555555555558</v>
      </c>
      <c r="O272" t="s">
        <v>119</v>
      </c>
      <c r="P272" t="s">
        <v>100</v>
      </c>
      <c r="Q272">
        <v>1800</v>
      </c>
      <c r="R272">
        <v>26.5</v>
      </c>
      <c r="S272" t="s">
        <v>94</v>
      </c>
      <c r="T272">
        <v>0</v>
      </c>
      <c r="U272" t="s">
        <v>107</v>
      </c>
      <c r="V272" t="s">
        <v>103</v>
      </c>
      <c r="W272">
        <v>12000</v>
      </c>
    </row>
    <row r="273" spans="1:23" x14ac:dyDescent="0.35">
      <c r="A273" t="s">
        <v>490</v>
      </c>
      <c r="B273" t="s">
        <v>234</v>
      </c>
      <c r="C273">
        <v>28</v>
      </c>
      <c r="D273" t="s">
        <v>18</v>
      </c>
      <c r="E273" t="s">
        <v>12</v>
      </c>
      <c r="F273" s="3" t="s">
        <v>235</v>
      </c>
      <c r="G273" t="s">
        <v>13</v>
      </c>
      <c r="H273" t="s">
        <v>14</v>
      </c>
      <c r="I273" t="s">
        <v>15</v>
      </c>
      <c r="J273" t="s">
        <v>90</v>
      </c>
      <c r="K273" t="s">
        <v>91</v>
      </c>
      <c r="L273" s="5">
        <v>45814</v>
      </c>
      <c r="M273" s="7">
        <v>0.28125</v>
      </c>
      <c r="N273" s="7">
        <v>0.3888888888888889</v>
      </c>
      <c r="O273" t="s">
        <v>236</v>
      </c>
      <c r="P273" t="s">
        <v>93</v>
      </c>
      <c r="Q273">
        <v>150</v>
      </c>
      <c r="R273">
        <v>11.2</v>
      </c>
      <c r="S273" t="s">
        <v>101</v>
      </c>
      <c r="T273">
        <v>30</v>
      </c>
      <c r="U273" t="s">
        <v>102</v>
      </c>
      <c r="V273" t="s">
        <v>96</v>
      </c>
      <c r="W273">
        <v>3200</v>
      </c>
    </row>
    <row r="274" spans="1:23" x14ac:dyDescent="0.35">
      <c r="A274" t="s">
        <v>491</v>
      </c>
      <c r="B274" t="s">
        <v>25</v>
      </c>
      <c r="C274">
        <v>41</v>
      </c>
      <c r="D274" t="s">
        <v>11</v>
      </c>
      <c r="E274" t="s">
        <v>26</v>
      </c>
      <c r="F274" t="s">
        <v>27</v>
      </c>
      <c r="G274" t="s">
        <v>21</v>
      </c>
      <c r="H274" t="s">
        <v>15</v>
      </c>
      <c r="I274" t="s">
        <v>28</v>
      </c>
      <c r="J274" t="s">
        <v>91</v>
      </c>
      <c r="K274" t="s">
        <v>104</v>
      </c>
      <c r="L274" s="5">
        <v>45815</v>
      </c>
      <c r="M274" s="7">
        <v>5.5555555555555552E-2</v>
      </c>
      <c r="N274" s="7">
        <v>0.41319444444444442</v>
      </c>
      <c r="O274" t="s">
        <v>105</v>
      </c>
      <c r="P274" t="s">
        <v>106</v>
      </c>
      <c r="Q274">
        <v>2450</v>
      </c>
      <c r="R274">
        <v>30.2</v>
      </c>
      <c r="S274" t="s">
        <v>94</v>
      </c>
      <c r="T274">
        <v>0</v>
      </c>
      <c r="U274" t="s">
        <v>107</v>
      </c>
      <c r="V274" t="s">
        <v>103</v>
      </c>
      <c r="W274">
        <v>13200</v>
      </c>
    </row>
    <row r="275" spans="1:23" x14ac:dyDescent="0.35">
      <c r="A275" t="s">
        <v>492</v>
      </c>
      <c r="B275" t="s">
        <v>30</v>
      </c>
      <c r="C275">
        <v>25</v>
      </c>
      <c r="D275" t="s">
        <v>18</v>
      </c>
      <c r="E275" t="s">
        <v>31</v>
      </c>
      <c r="F275" t="s">
        <v>32</v>
      </c>
      <c r="G275" t="s">
        <v>21</v>
      </c>
      <c r="H275" t="s">
        <v>33</v>
      </c>
      <c r="I275" t="s">
        <v>34</v>
      </c>
      <c r="J275" t="s">
        <v>108</v>
      </c>
      <c r="K275" t="s">
        <v>109</v>
      </c>
      <c r="L275" s="5">
        <v>45815</v>
      </c>
      <c r="M275" s="7">
        <v>0.34027777777777779</v>
      </c>
      <c r="N275" s="7">
        <v>0.58333333333333337</v>
      </c>
      <c r="O275" t="s">
        <v>110</v>
      </c>
      <c r="P275" t="s">
        <v>93</v>
      </c>
      <c r="Q275">
        <v>420</v>
      </c>
      <c r="R275">
        <v>15.6</v>
      </c>
      <c r="S275" t="s">
        <v>111</v>
      </c>
      <c r="T275">
        <v>0</v>
      </c>
      <c r="U275" t="s">
        <v>95</v>
      </c>
      <c r="V275" t="s">
        <v>112</v>
      </c>
      <c r="W275">
        <v>3500</v>
      </c>
    </row>
    <row r="276" spans="1:23" x14ac:dyDescent="0.35">
      <c r="A276" t="s">
        <v>493</v>
      </c>
      <c r="B276" t="s">
        <v>36</v>
      </c>
      <c r="C276">
        <v>38</v>
      </c>
      <c r="D276" t="s">
        <v>11</v>
      </c>
      <c r="E276" t="s">
        <v>37</v>
      </c>
      <c r="F276" t="s">
        <v>38</v>
      </c>
      <c r="G276" t="s">
        <v>21</v>
      </c>
      <c r="H276" t="s">
        <v>39</v>
      </c>
      <c r="I276" t="s">
        <v>40</v>
      </c>
      <c r="J276" t="s">
        <v>113</v>
      </c>
      <c r="K276" t="s">
        <v>114</v>
      </c>
      <c r="L276" s="5">
        <v>45816</v>
      </c>
      <c r="M276" s="7">
        <v>0.91666666666666663</v>
      </c>
      <c r="N276" s="7">
        <v>0.57291666666666663</v>
      </c>
      <c r="O276" t="s">
        <v>115</v>
      </c>
      <c r="P276" t="s">
        <v>100</v>
      </c>
      <c r="Q276">
        <v>1980</v>
      </c>
      <c r="R276">
        <v>27.5</v>
      </c>
      <c r="S276" t="s">
        <v>94</v>
      </c>
      <c r="T276">
        <v>0</v>
      </c>
      <c r="U276" t="s">
        <v>102</v>
      </c>
      <c r="V276" t="s">
        <v>103</v>
      </c>
      <c r="W276">
        <v>9700</v>
      </c>
    </row>
    <row r="277" spans="1:23" x14ac:dyDescent="0.35">
      <c r="A277" t="s">
        <v>494</v>
      </c>
      <c r="B277" t="s">
        <v>42</v>
      </c>
      <c r="C277">
        <v>31</v>
      </c>
      <c r="D277" t="s">
        <v>18</v>
      </c>
      <c r="E277" t="s">
        <v>43</v>
      </c>
      <c r="F277" t="s">
        <v>44</v>
      </c>
      <c r="G277" t="s">
        <v>21</v>
      </c>
      <c r="H277" t="s">
        <v>15</v>
      </c>
      <c r="I277" t="s">
        <v>45</v>
      </c>
      <c r="J277" t="s">
        <v>91</v>
      </c>
      <c r="K277" t="s">
        <v>116</v>
      </c>
      <c r="L277" s="5">
        <v>45816</v>
      </c>
      <c r="M277" s="7">
        <v>0.15625</v>
      </c>
      <c r="N277" s="7">
        <v>0.47222222222222221</v>
      </c>
      <c r="O277" t="s">
        <v>117</v>
      </c>
      <c r="P277" t="s">
        <v>118</v>
      </c>
      <c r="Q277">
        <v>980</v>
      </c>
      <c r="R277">
        <v>19.3</v>
      </c>
      <c r="S277" t="s">
        <v>101</v>
      </c>
      <c r="T277">
        <v>35</v>
      </c>
      <c r="U277" t="s">
        <v>95</v>
      </c>
      <c r="V277" t="s">
        <v>96</v>
      </c>
      <c r="W277">
        <v>5400</v>
      </c>
    </row>
    <row r="278" spans="1:23" x14ac:dyDescent="0.35">
      <c r="A278" t="s">
        <v>495</v>
      </c>
      <c r="B278" t="s">
        <v>47</v>
      </c>
      <c r="C278">
        <v>45</v>
      </c>
      <c r="D278" t="s">
        <v>11</v>
      </c>
      <c r="E278" t="s">
        <v>48</v>
      </c>
      <c r="F278" t="s">
        <v>49</v>
      </c>
      <c r="G278" t="s">
        <v>21</v>
      </c>
      <c r="H278" t="s">
        <v>14</v>
      </c>
      <c r="I278" t="s">
        <v>28</v>
      </c>
      <c r="J278" t="s">
        <v>90</v>
      </c>
      <c r="K278" t="s">
        <v>104</v>
      </c>
      <c r="L278" s="5">
        <v>45817</v>
      </c>
      <c r="M278" s="7">
        <v>0.42708333333333331</v>
      </c>
      <c r="N278" s="7">
        <v>0.77083333333333337</v>
      </c>
      <c r="O278" t="s">
        <v>119</v>
      </c>
      <c r="P278" t="s">
        <v>100</v>
      </c>
      <c r="Q278">
        <v>1650</v>
      </c>
      <c r="R278">
        <v>26.8</v>
      </c>
      <c r="S278" t="s">
        <v>94</v>
      </c>
      <c r="T278">
        <v>0</v>
      </c>
      <c r="U278" t="s">
        <v>107</v>
      </c>
      <c r="V278" t="s">
        <v>103</v>
      </c>
      <c r="W278">
        <v>11000</v>
      </c>
    </row>
    <row r="279" spans="1:23" x14ac:dyDescent="0.35">
      <c r="A279" t="s">
        <v>496</v>
      </c>
      <c r="B279" t="s">
        <v>51</v>
      </c>
      <c r="C279">
        <v>27</v>
      </c>
      <c r="D279" t="s">
        <v>18</v>
      </c>
      <c r="E279" t="s">
        <v>52</v>
      </c>
      <c r="F279" t="s">
        <v>53</v>
      </c>
      <c r="G279" t="s">
        <v>21</v>
      </c>
      <c r="H279" t="s">
        <v>22</v>
      </c>
      <c r="I279" t="s">
        <v>40</v>
      </c>
      <c r="J279" t="s">
        <v>97</v>
      </c>
      <c r="K279" t="s">
        <v>114</v>
      </c>
      <c r="L279" s="5">
        <v>45817</v>
      </c>
      <c r="M279" s="7">
        <v>0.24305555555555555</v>
      </c>
      <c r="N279" s="7">
        <v>0.72222222222222221</v>
      </c>
      <c r="O279" t="s">
        <v>120</v>
      </c>
      <c r="P279" t="s">
        <v>93</v>
      </c>
      <c r="Q279">
        <v>740</v>
      </c>
      <c r="R279">
        <v>17.2</v>
      </c>
      <c r="S279" t="s">
        <v>111</v>
      </c>
      <c r="T279">
        <v>0</v>
      </c>
      <c r="U279" t="s">
        <v>95</v>
      </c>
      <c r="V279" t="s">
        <v>96</v>
      </c>
      <c r="W279">
        <v>4100</v>
      </c>
    </row>
    <row r="280" spans="1:23" x14ac:dyDescent="0.35">
      <c r="A280" t="s">
        <v>497</v>
      </c>
      <c r="B280" t="s">
        <v>55</v>
      </c>
      <c r="C280">
        <v>36</v>
      </c>
      <c r="D280" t="s">
        <v>11</v>
      </c>
      <c r="E280" t="s">
        <v>12</v>
      </c>
      <c r="F280" s="3" t="s">
        <v>56</v>
      </c>
      <c r="G280" t="s">
        <v>13</v>
      </c>
      <c r="H280" t="s">
        <v>57</v>
      </c>
      <c r="I280" t="s">
        <v>33</v>
      </c>
      <c r="J280" t="s">
        <v>121</v>
      </c>
      <c r="K280" t="s">
        <v>108</v>
      </c>
      <c r="L280" s="5">
        <v>45818</v>
      </c>
      <c r="M280" s="7">
        <v>0.60069444444444442</v>
      </c>
      <c r="N280" s="7">
        <v>0.71527777777777779</v>
      </c>
      <c r="O280" t="s">
        <v>122</v>
      </c>
      <c r="P280" t="s">
        <v>93</v>
      </c>
      <c r="Q280">
        <v>125</v>
      </c>
      <c r="R280">
        <v>12</v>
      </c>
      <c r="S280" t="s">
        <v>94</v>
      </c>
      <c r="T280">
        <v>0</v>
      </c>
      <c r="U280" t="s">
        <v>102</v>
      </c>
      <c r="V280" t="s">
        <v>103</v>
      </c>
      <c r="W280">
        <v>1800</v>
      </c>
    </row>
    <row r="281" spans="1:23" x14ac:dyDescent="0.35">
      <c r="A281" t="s">
        <v>498</v>
      </c>
      <c r="B281" t="s">
        <v>59</v>
      </c>
      <c r="C281">
        <v>30</v>
      </c>
      <c r="D281" t="s">
        <v>18</v>
      </c>
      <c r="E281" t="s">
        <v>19</v>
      </c>
      <c r="F281" t="s">
        <v>60</v>
      </c>
      <c r="G281" t="s">
        <v>13</v>
      </c>
      <c r="H281" t="s">
        <v>15</v>
      </c>
      <c r="I281" t="s">
        <v>14</v>
      </c>
      <c r="J281" t="s">
        <v>91</v>
      </c>
      <c r="K281" t="s">
        <v>90</v>
      </c>
      <c r="L281" s="5">
        <v>45818</v>
      </c>
      <c r="M281" s="7">
        <v>0.40277777777777779</v>
      </c>
      <c r="N281" s="7">
        <v>0.51736111111111116</v>
      </c>
      <c r="O281" t="s">
        <v>123</v>
      </c>
      <c r="P281" t="s">
        <v>118</v>
      </c>
      <c r="Q281">
        <v>310</v>
      </c>
      <c r="R281">
        <v>20.5</v>
      </c>
      <c r="S281" t="s">
        <v>101</v>
      </c>
      <c r="T281">
        <v>35</v>
      </c>
      <c r="U281" t="s">
        <v>95</v>
      </c>
      <c r="V281" t="s">
        <v>96</v>
      </c>
      <c r="W281">
        <v>6200</v>
      </c>
    </row>
    <row r="282" spans="1:23" x14ac:dyDescent="0.35">
      <c r="A282" t="s">
        <v>499</v>
      </c>
      <c r="B282" t="s">
        <v>62</v>
      </c>
      <c r="C282">
        <v>52</v>
      </c>
      <c r="D282" t="s">
        <v>11</v>
      </c>
      <c r="E282" t="s">
        <v>26</v>
      </c>
      <c r="F282" t="s">
        <v>63</v>
      </c>
      <c r="G282" t="s">
        <v>21</v>
      </c>
      <c r="H282" t="s">
        <v>22</v>
      </c>
      <c r="I282" t="s">
        <v>23</v>
      </c>
      <c r="J282" t="s">
        <v>97</v>
      </c>
      <c r="K282" t="s">
        <v>98</v>
      </c>
      <c r="L282" s="5">
        <v>45819</v>
      </c>
      <c r="M282" s="7">
        <v>0.96875</v>
      </c>
      <c r="N282" s="7">
        <v>0.12152777777777778</v>
      </c>
      <c r="O282" t="s">
        <v>124</v>
      </c>
      <c r="P282" t="s">
        <v>100</v>
      </c>
      <c r="Q282">
        <v>1200</v>
      </c>
      <c r="R282">
        <v>28</v>
      </c>
      <c r="S282" t="s">
        <v>94</v>
      </c>
      <c r="T282">
        <v>0</v>
      </c>
      <c r="U282" t="s">
        <v>107</v>
      </c>
      <c r="V282" t="s">
        <v>125</v>
      </c>
      <c r="W282">
        <v>14000</v>
      </c>
    </row>
    <row r="283" spans="1:23" x14ac:dyDescent="0.35">
      <c r="A283" t="s">
        <v>500</v>
      </c>
      <c r="B283" t="s">
        <v>65</v>
      </c>
      <c r="C283">
        <v>24</v>
      </c>
      <c r="D283" t="s">
        <v>18</v>
      </c>
      <c r="E283" t="s">
        <v>12</v>
      </c>
      <c r="F283" s="3" t="s">
        <v>66</v>
      </c>
      <c r="G283" t="s">
        <v>13</v>
      </c>
      <c r="H283" t="s">
        <v>39</v>
      </c>
      <c r="I283" t="s">
        <v>15</v>
      </c>
      <c r="J283" t="s">
        <v>113</v>
      </c>
      <c r="K283" t="s">
        <v>91</v>
      </c>
      <c r="L283" s="5">
        <v>45819</v>
      </c>
      <c r="M283" s="7">
        <v>0.25694444444444442</v>
      </c>
      <c r="N283" s="7">
        <v>0.3611111111111111</v>
      </c>
      <c r="O283" t="s">
        <v>126</v>
      </c>
      <c r="P283" t="s">
        <v>93</v>
      </c>
      <c r="Q283">
        <v>160</v>
      </c>
      <c r="R283">
        <v>10.4</v>
      </c>
      <c r="S283" t="s">
        <v>111</v>
      </c>
      <c r="T283">
        <v>0</v>
      </c>
      <c r="U283" t="s">
        <v>102</v>
      </c>
      <c r="V283" t="s">
        <v>112</v>
      </c>
      <c r="W283">
        <v>900</v>
      </c>
    </row>
    <row r="284" spans="1:23" x14ac:dyDescent="0.35">
      <c r="A284" t="s">
        <v>501</v>
      </c>
      <c r="B284" t="s">
        <v>68</v>
      </c>
      <c r="C284">
        <v>40</v>
      </c>
      <c r="D284" t="s">
        <v>11</v>
      </c>
      <c r="E284" t="s">
        <v>37</v>
      </c>
      <c r="F284" t="s">
        <v>69</v>
      </c>
      <c r="G284" t="s">
        <v>21</v>
      </c>
      <c r="H284" t="s">
        <v>33</v>
      </c>
      <c r="I284" t="s">
        <v>34</v>
      </c>
      <c r="J284" t="s">
        <v>108</v>
      </c>
      <c r="K284" t="s">
        <v>109</v>
      </c>
      <c r="L284" s="5">
        <v>45820</v>
      </c>
      <c r="M284" s="7">
        <v>0.84722222222222221</v>
      </c>
      <c r="N284" s="7">
        <v>9.0277777777777776E-2</v>
      </c>
      <c r="O284" t="s">
        <v>127</v>
      </c>
      <c r="P284" t="s">
        <v>100</v>
      </c>
      <c r="Q284">
        <v>1340</v>
      </c>
      <c r="R284">
        <v>22.6</v>
      </c>
      <c r="S284" t="s">
        <v>94</v>
      </c>
      <c r="T284">
        <v>0</v>
      </c>
      <c r="U284" t="s">
        <v>95</v>
      </c>
      <c r="V284" t="s">
        <v>103</v>
      </c>
      <c r="W284">
        <v>8700</v>
      </c>
    </row>
    <row r="285" spans="1:23" x14ac:dyDescent="0.35">
      <c r="A285" t="s">
        <v>502</v>
      </c>
      <c r="B285" t="s">
        <v>71</v>
      </c>
      <c r="C285">
        <v>33</v>
      </c>
      <c r="D285" t="s">
        <v>18</v>
      </c>
      <c r="E285" t="s">
        <v>43</v>
      </c>
      <c r="F285" t="s">
        <v>72</v>
      </c>
      <c r="G285" t="s">
        <v>21</v>
      </c>
      <c r="H285" t="s">
        <v>15</v>
      </c>
      <c r="I285" t="s">
        <v>40</v>
      </c>
      <c r="J285" t="s">
        <v>91</v>
      </c>
      <c r="K285" t="s">
        <v>114</v>
      </c>
      <c r="L285" s="5">
        <v>45820</v>
      </c>
      <c r="M285" s="7">
        <v>0.11805555555555555</v>
      </c>
      <c r="N285" s="7">
        <v>0.64583333333333337</v>
      </c>
      <c r="O285" t="s">
        <v>128</v>
      </c>
      <c r="P285" t="s">
        <v>106</v>
      </c>
      <c r="Q285">
        <v>2600</v>
      </c>
      <c r="R285">
        <v>31.4</v>
      </c>
      <c r="S285" t="s">
        <v>101</v>
      </c>
      <c r="T285">
        <v>90</v>
      </c>
      <c r="U285" t="s">
        <v>107</v>
      </c>
      <c r="V285" t="s">
        <v>96</v>
      </c>
      <c r="W285">
        <v>15000</v>
      </c>
    </row>
    <row r="286" spans="1:23" x14ac:dyDescent="0.35">
      <c r="A286" t="s">
        <v>503</v>
      </c>
      <c r="B286" t="s">
        <v>74</v>
      </c>
      <c r="C286">
        <v>47</v>
      </c>
      <c r="D286" t="s">
        <v>11</v>
      </c>
      <c r="E286" t="s">
        <v>19</v>
      </c>
      <c r="F286" t="s">
        <v>75</v>
      </c>
      <c r="G286" t="s">
        <v>21</v>
      </c>
      <c r="H286" t="s">
        <v>14</v>
      </c>
      <c r="I286" t="s">
        <v>23</v>
      </c>
      <c r="J286" t="s">
        <v>90</v>
      </c>
      <c r="K286" t="s">
        <v>98</v>
      </c>
      <c r="L286" s="5">
        <v>45821</v>
      </c>
      <c r="M286" s="7">
        <v>0.54513888888888884</v>
      </c>
      <c r="N286" s="7">
        <v>0.71875</v>
      </c>
      <c r="O286" t="s">
        <v>129</v>
      </c>
      <c r="P286" t="s">
        <v>93</v>
      </c>
      <c r="Q286">
        <v>390</v>
      </c>
      <c r="R286">
        <v>16.100000000000001</v>
      </c>
      <c r="S286" t="s">
        <v>94</v>
      </c>
      <c r="T286">
        <v>0</v>
      </c>
      <c r="U286" t="s">
        <v>95</v>
      </c>
      <c r="V286" t="s">
        <v>103</v>
      </c>
      <c r="W286">
        <v>3000</v>
      </c>
    </row>
    <row r="287" spans="1:23" x14ac:dyDescent="0.35">
      <c r="A287" t="s">
        <v>504</v>
      </c>
      <c r="B287" t="s">
        <v>131</v>
      </c>
      <c r="C287">
        <v>28</v>
      </c>
      <c r="D287" t="s">
        <v>18</v>
      </c>
      <c r="E287" t="s">
        <v>52</v>
      </c>
      <c r="F287" t="s">
        <v>132</v>
      </c>
      <c r="G287" t="s">
        <v>21</v>
      </c>
      <c r="H287" t="s">
        <v>33</v>
      </c>
      <c r="I287" t="s">
        <v>28</v>
      </c>
      <c r="J287" t="s">
        <v>108</v>
      </c>
      <c r="K287" t="s">
        <v>104</v>
      </c>
      <c r="L287" s="5">
        <v>45821</v>
      </c>
      <c r="M287" s="7">
        <v>0.32291666666666669</v>
      </c>
      <c r="N287" s="7">
        <v>0.75694444444444442</v>
      </c>
      <c r="O287" t="s">
        <v>133</v>
      </c>
      <c r="P287" t="s">
        <v>118</v>
      </c>
      <c r="Q287">
        <v>980</v>
      </c>
      <c r="R287">
        <v>21</v>
      </c>
      <c r="S287" t="s">
        <v>111</v>
      </c>
      <c r="T287">
        <v>0</v>
      </c>
      <c r="U287" t="s">
        <v>102</v>
      </c>
      <c r="V287" t="s">
        <v>96</v>
      </c>
      <c r="W287">
        <v>7200</v>
      </c>
    </row>
    <row r="288" spans="1:23" x14ac:dyDescent="0.35">
      <c r="A288" t="s">
        <v>505</v>
      </c>
      <c r="B288" t="s">
        <v>135</v>
      </c>
      <c r="C288">
        <v>39</v>
      </c>
      <c r="D288" t="s">
        <v>11</v>
      </c>
      <c r="E288" t="s">
        <v>12</v>
      </c>
      <c r="F288" s="3" t="s">
        <v>136</v>
      </c>
      <c r="G288" t="s">
        <v>13</v>
      </c>
      <c r="H288" t="s">
        <v>15</v>
      </c>
      <c r="I288" t="s">
        <v>22</v>
      </c>
      <c r="J288" t="s">
        <v>91</v>
      </c>
      <c r="K288" t="s">
        <v>97</v>
      </c>
      <c r="L288" s="5">
        <v>45822</v>
      </c>
      <c r="M288" s="7">
        <v>0.47916666666666669</v>
      </c>
      <c r="N288" s="7">
        <v>0.56944444444444442</v>
      </c>
      <c r="O288" t="s">
        <v>137</v>
      </c>
      <c r="P288" t="s">
        <v>93</v>
      </c>
      <c r="Q288">
        <v>110</v>
      </c>
      <c r="R288">
        <v>8.6</v>
      </c>
      <c r="S288" t="s">
        <v>94</v>
      </c>
      <c r="T288">
        <v>0</v>
      </c>
      <c r="U288" t="s">
        <v>95</v>
      </c>
      <c r="V288" t="s">
        <v>103</v>
      </c>
      <c r="W288">
        <v>1500</v>
      </c>
    </row>
    <row r="289" spans="1:23" x14ac:dyDescent="0.35">
      <c r="A289" t="s">
        <v>506</v>
      </c>
      <c r="B289" t="s">
        <v>139</v>
      </c>
      <c r="C289">
        <v>26</v>
      </c>
      <c r="D289" t="s">
        <v>18</v>
      </c>
      <c r="E289" t="s">
        <v>19</v>
      </c>
      <c r="F289" t="s">
        <v>140</v>
      </c>
      <c r="G289" t="s">
        <v>13</v>
      </c>
      <c r="H289" t="s">
        <v>57</v>
      </c>
      <c r="I289" t="s">
        <v>39</v>
      </c>
      <c r="J289" t="s">
        <v>121</v>
      </c>
      <c r="K289" t="s">
        <v>113</v>
      </c>
      <c r="L289" s="5">
        <v>45822</v>
      </c>
      <c r="M289" s="7">
        <v>0.66666666666666663</v>
      </c>
      <c r="N289" s="7">
        <v>0.76736111111111116</v>
      </c>
      <c r="O289" t="s">
        <v>141</v>
      </c>
      <c r="P289" t="s">
        <v>93</v>
      </c>
      <c r="Q289">
        <v>140</v>
      </c>
      <c r="R289">
        <v>11.2</v>
      </c>
      <c r="S289" t="s">
        <v>101</v>
      </c>
      <c r="T289">
        <v>20</v>
      </c>
      <c r="U289" t="s">
        <v>95</v>
      </c>
      <c r="V289" t="s">
        <v>96</v>
      </c>
      <c r="W289">
        <v>2700</v>
      </c>
    </row>
    <row r="290" spans="1:23" x14ac:dyDescent="0.35">
      <c r="A290" t="s">
        <v>507</v>
      </c>
      <c r="B290" t="s">
        <v>143</v>
      </c>
      <c r="C290">
        <v>50</v>
      </c>
      <c r="D290" t="s">
        <v>11</v>
      </c>
      <c r="E290" t="s">
        <v>26</v>
      </c>
      <c r="F290" t="s">
        <v>144</v>
      </c>
      <c r="G290" t="s">
        <v>21</v>
      </c>
      <c r="H290" t="s">
        <v>14</v>
      </c>
      <c r="I290" t="s">
        <v>34</v>
      </c>
      <c r="J290" t="s">
        <v>90</v>
      </c>
      <c r="K290" t="s">
        <v>109</v>
      </c>
      <c r="L290" s="5">
        <v>45823</v>
      </c>
      <c r="M290" s="7">
        <v>0.88194444444444442</v>
      </c>
      <c r="N290" s="7">
        <v>0.2013888888888889</v>
      </c>
      <c r="O290" t="s">
        <v>145</v>
      </c>
      <c r="P290" t="s">
        <v>100</v>
      </c>
      <c r="Q290">
        <v>1450</v>
      </c>
      <c r="R290">
        <v>25.9</v>
      </c>
      <c r="S290" t="s">
        <v>94</v>
      </c>
      <c r="T290">
        <v>0</v>
      </c>
      <c r="U290" t="s">
        <v>107</v>
      </c>
      <c r="V290" t="s">
        <v>125</v>
      </c>
      <c r="W290">
        <v>11800</v>
      </c>
    </row>
    <row r="291" spans="1:23" x14ac:dyDescent="0.35">
      <c r="A291" t="s">
        <v>508</v>
      </c>
      <c r="B291" t="s">
        <v>222</v>
      </c>
      <c r="C291">
        <v>31</v>
      </c>
      <c r="D291" t="s">
        <v>18</v>
      </c>
      <c r="E291" t="s">
        <v>31</v>
      </c>
      <c r="F291" t="s">
        <v>148</v>
      </c>
      <c r="G291" t="s">
        <v>21</v>
      </c>
      <c r="H291" t="s">
        <v>15</v>
      </c>
      <c r="I291" t="s">
        <v>23</v>
      </c>
      <c r="J291" t="s">
        <v>91</v>
      </c>
      <c r="K291" t="s">
        <v>98</v>
      </c>
      <c r="L291" s="5">
        <v>45823</v>
      </c>
      <c r="M291" s="7">
        <v>0.18402777777777779</v>
      </c>
      <c r="N291" s="7">
        <v>0.33333333333333331</v>
      </c>
      <c r="O291" t="s">
        <v>149</v>
      </c>
      <c r="P291" t="s">
        <v>93</v>
      </c>
      <c r="Q291">
        <v>330</v>
      </c>
      <c r="R291">
        <v>13.5</v>
      </c>
      <c r="S291" t="s">
        <v>111</v>
      </c>
      <c r="T291">
        <v>0</v>
      </c>
      <c r="U291" t="s">
        <v>102</v>
      </c>
      <c r="V291" t="s">
        <v>112</v>
      </c>
      <c r="W291">
        <v>2100</v>
      </c>
    </row>
    <row r="292" spans="1:23" x14ac:dyDescent="0.35">
      <c r="A292" t="s">
        <v>509</v>
      </c>
      <c r="B292" t="s">
        <v>224</v>
      </c>
      <c r="C292">
        <v>44</v>
      </c>
      <c r="D292" t="s">
        <v>11</v>
      </c>
      <c r="E292" t="s">
        <v>12</v>
      </c>
      <c r="F292" s="3" t="s">
        <v>225</v>
      </c>
      <c r="G292" t="s">
        <v>13</v>
      </c>
      <c r="H292" t="s">
        <v>22</v>
      </c>
      <c r="I292" t="s">
        <v>57</v>
      </c>
      <c r="J292" t="s">
        <v>97</v>
      </c>
      <c r="K292" t="s">
        <v>121</v>
      </c>
      <c r="L292" s="5">
        <v>45824</v>
      </c>
      <c r="M292" s="7">
        <v>0.38194444444444442</v>
      </c>
      <c r="N292" s="7">
        <v>0.4861111111111111</v>
      </c>
      <c r="O292" t="s">
        <v>226</v>
      </c>
      <c r="P292" t="s">
        <v>93</v>
      </c>
      <c r="Q292">
        <v>125</v>
      </c>
      <c r="R292">
        <v>12</v>
      </c>
      <c r="S292" t="s">
        <v>94</v>
      </c>
      <c r="T292">
        <v>0</v>
      </c>
      <c r="U292" t="s">
        <v>95</v>
      </c>
      <c r="V292" t="s">
        <v>103</v>
      </c>
      <c r="W292">
        <v>2100</v>
      </c>
    </row>
    <row r="293" spans="1:23" x14ac:dyDescent="0.35">
      <c r="A293" t="s">
        <v>510</v>
      </c>
      <c r="B293" t="s">
        <v>30</v>
      </c>
      <c r="C293">
        <v>25</v>
      </c>
      <c r="D293" t="s">
        <v>18</v>
      </c>
      <c r="E293" t="s">
        <v>19</v>
      </c>
      <c r="F293" t="s">
        <v>20</v>
      </c>
      <c r="G293" t="s">
        <v>21</v>
      </c>
      <c r="H293" t="s">
        <v>15</v>
      </c>
      <c r="I293" t="s">
        <v>28</v>
      </c>
      <c r="J293" t="s">
        <v>91</v>
      </c>
      <c r="K293" t="s">
        <v>104</v>
      </c>
      <c r="L293" s="5">
        <v>45824</v>
      </c>
      <c r="M293" s="7">
        <v>5.2083333333333336E-2</v>
      </c>
      <c r="N293" s="7">
        <v>0.40972222222222221</v>
      </c>
      <c r="O293" t="s">
        <v>99</v>
      </c>
      <c r="P293" t="s">
        <v>100</v>
      </c>
      <c r="Q293">
        <v>860</v>
      </c>
      <c r="R293">
        <v>24</v>
      </c>
      <c r="S293" t="s">
        <v>101</v>
      </c>
      <c r="T293">
        <v>50</v>
      </c>
      <c r="U293" t="s">
        <v>102</v>
      </c>
      <c r="V293" t="s">
        <v>96</v>
      </c>
      <c r="W293">
        <v>8400</v>
      </c>
    </row>
    <row r="294" spans="1:23" x14ac:dyDescent="0.35">
      <c r="A294" t="s">
        <v>511</v>
      </c>
      <c r="B294" t="s">
        <v>197</v>
      </c>
      <c r="C294">
        <v>38</v>
      </c>
      <c r="D294" t="s">
        <v>11</v>
      </c>
      <c r="E294" t="s">
        <v>37</v>
      </c>
      <c r="F294" t="s">
        <v>38</v>
      </c>
      <c r="G294" t="s">
        <v>21</v>
      </c>
      <c r="H294" t="s">
        <v>39</v>
      </c>
      <c r="I294" t="s">
        <v>40</v>
      </c>
      <c r="J294" t="s">
        <v>113</v>
      </c>
      <c r="K294" t="s">
        <v>114</v>
      </c>
      <c r="L294" s="5">
        <v>45825</v>
      </c>
      <c r="M294" s="7">
        <v>0.91666666666666663</v>
      </c>
      <c r="N294" s="7">
        <v>0.57291666666666663</v>
      </c>
      <c r="O294" t="s">
        <v>115</v>
      </c>
      <c r="P294" t="s">
        <v>100</v>
      </c>
      <c r="Q294">
        <v>1980</v>
      </c>
      <c r="R294">
        <v>27.5</v>
      </c>
      <c r="S294" t="s">
        <v>94</v>
      </c>
      <c r="T294">
        <v>0</v>
      </c>
      <c r="U294" t="s">
        <v>102</v>
      </c>
      <c r="V294" t="s">
        <v>103</v>
      </c>
      <c r="W294">
        <v>9700</v>
      </c>
    </row>
    <row r="295" spans="1:23" x14ac:dyDescent="0.35">
      <c r="A295" t="s">
        <v>512</v>
      </c>
      <c r="B295" t="s">
        <v>42</v>
      </c>
      <c r="C295">
        <v>31</v>
      </c>
      <c r="D295" t="s">
        <v>18</v>
      </c>
      <c r="E295" t="s">
        <v>43</v>
      </c>
      <c r="F295" t="s">
        <v>44</v>
      </c>
      <c r="G295" t="s">
        <v>21</v>
      </c>
      <c r="H295" t="s">
        <v>15</v>
      </c>
      <c r="I295" t="s">
        <v>45</v>
      </c>
      <c r="J295" t="s">
        <v>91</v>
      </c>
      <c r="K295" t="s">
        <v>116</v>
      </c>
      <c r="L295" s="5">
        <v>45825</v>
      </c>
      <c r="M295" s="7">
        <v>0.15625</v>
      </c>
      <c r="N295" s="7">
        <v>0.47222222222222221</v>
      </c>
      <c r="O295" t="s">
        <v>117</v>
      </c>
      <c r="P295" t="s">
        <v>118</v>
      </c>
      <c r="Q295">
        <v>980</v>
      </c>
      <c r="R295">
        <v>19.3</v>
      </c>
      <c r="S295" t="s">
        <v>94</v>
      </c>
      <c r="T295">
        <v>0</v>
      </c>
      <c r="U295" t="s">
        <v>95</v>
      </c>
      <c r="V295" t="s">
        <v>96</v>
      </c>
      <c r="W295">
        <v>5400</v>
      </c>
    </row>
    <row r="296" spans="1:23" x14ac:dyDescent="0.35">
      <c r="A296" t="s">
        <v>513</v>
      </c>
      <c r="B296" t="s">
        <v>231</v>
      </c>
      <c r="C296">
        <v>35</v>
      </c>
      <c r="D296" t="s">
        <v>11</v>
      </c>
      <c r="E296" t="s">
        <v>26</v>
      </c>
      <c r="F296" t="s">
        <v>232</v>
      </c>
      <c r="G296" t="s">
        <v>21</v>
      </c>
      <c r="H296" t="s">
        <v>22</v>
      </c>
      <c r="I296" t="s">
        <v>28</v>
      </c>
      <c r="J296" t="s">
        <v>97</v>
      </c>
      <c r="K296" t="s">
        <v>104</v>
      </c>
      <c r="L296" s="5">
        <v>45826</v>
      </c>
      <c r="M296" s="7">
        <v>9.0277777777777776E-2</v>
      </c>
      <c r="N296" s="7">
        <v>0.36805555555555558</v>
      </c>
      <c r="O296" t="s">
        <v>119</v>
      </c>
      <c r="P296" t="s">
        <v>100</v>
      </c>
      <c r="Q296">
        <v>1800</v>
      </c>
      <c r="R296">
        <v>26.5</v>
      </c>
      <c r="S296" t="s">
        <v>94</v>
      </c>
      <c r="T296">
        <v>0</v>
      </c>
      <c r="U296" t="s">
        <v>107</v>
      </c>
      <c r="V296" t="s">
        <v>103</v>
      </c>
      <c r="W296">
        <v>12000</v>
      </c>
    </row>
    <row r="297" spans="1:23" x14ac:dyDescent="0.35">
      <c r="A297" t="s">
        <v>514</v>
      </c>
      <c r="B297" t="s">
        <v>234</v>
      </c>
      <c r="C297">
        <v>28</v>
      </c>
      <c r="D297" t="s">
        <v>18</v>
      </c>
      <c r="E297" t="s">
        <v>12</v>
      </c>
      <c r="F297" s="3" t="s">
        <v>235</v>
      </c>
      <c r="G297" t="s">
        <v>13</v>
      </c>
      <c r="H297" t="s">
        <v>14</v>
      </c>
      <c r="I297" t="s">
        <v>15</v>
      </c>
      <c r="J297" t="s">
        <v>90</v>
      </c>
      <c r="K297" t="s">
        <v>91</v>
      </c>
      <c r="L297" s="5">
        <v>45826</v>
      </c>
      <c r="M297" s="7">
        <v>0.28125</v>
      </c>
      <c r="N297" s="7">
        <v>0.3888888888888889</v>
      </c>
      <c r="O297" t="s">
        <v>236</v>
      </c>
      <c r="P297" t="s">
        <v>93</v>
      </c>
      <c r="Q297">
        <v>150</v>
      </c>
      <c r="R297">
        <v>11.2</v>
      </c>
      <c r="S297" t="s">
        <v>101</v>
      </c>
      <c r="T297">
        <v>30</v>
      </c>
      <c r="U297" t="s">
        <v>102</v>
      </c>
      <c r="V297" t="s">
        <v>96</v>
      </c>
      <c r="W297">
        <v>3200</v>
      </c>
    </row>
    <row r="298" spans="1:23" x14ac:dyDescent="0.35">
      <c r="A298" t="s">
        <v>515</v>
      </c>
      <c r="B298" t="s">
        <v>25</v>
      </c>
      <c r="C298">
        <v>41</v>
      </c>
      <c r="D298" t="s">
        <v>11</v>
      </c>
      <c r="E298" t="s">
        <v>26</v>
      </c>
      <c r="F298" t="s">
        <v>27</v>
      </c>
      <c r="G298" t="s">
        <v>21</v>
      </c>
      <c r="H298" t="s">
        <v>15</v>
      </c>
      <c r="I298" t="s">
        <v>28</v>
      </c>
      <c r="J298" t="s">
        <v>91</v>
      </c>
      <c r="K298" t="s">
        <v>104</v>
      </c>
      <c r="L298" s="5">
        <v>45827</v>
      </c>
      <c r="M298" s="7">
        <v>5.5555555555555552E-2</v>
      </c>
      <c r="N298" s="7">
        <v>0.41319444444444442</v>
      </c>
      <c r="O298" t="s">
        <v>105</v>
      </c>
      <c r="P298" t="s">
        <v>106</v>
      </c>
      <c r="Q298">
        <v>2450</v>
      </c>
      <c r="R298">
        <v>30.2</v>
      </c>
      <c r="S298" t="s">
        <v>94</v>
      </c>
      <c r="T298">
        <v>0</v>
      </c>
      <c r="U298" t="s">
        <v>107</v>
      </c>
      <c r="V298" t="s">
        <v>103</v>
      </c>
      <c r="W298">
        <v>13200</v>
      </c>
    </row>
    <row r="299" spans="1:23" x14ac:dyDescent="0.35">
      <c r="A299" t="s">
        <v>516</v>
      </c>
      <c r="B299" t="s">
        <v>30</v>
      </c>
      <c r="C299">
        <v>25</v>
      </c>
      <c r="D299" t="s">
        <v>18</v>
      </c>
      <c r="E299" t="s">
        <v>31</v>
      </c>
      <c r="F299" t="s">
        <v>32</v>
      </c>
      <c r="G299" t="s">
        <v>21</v>
      </c>
      <c r="H299" t="s">
        <v>33</v>
      </c>
      <c r="I299" t="s">
        <v>34</v>
      </c>
      <c r="J299" t="s">
        <v>108</v>
      </c>
      <c r="K299" t="s">
        <v>109</v>
      </c>
      <c r="L299" s="5">
        <v>45827</v>
      </c>
      <c r="M299" s="7">
        <v>0.34027777777777779</v>
      </c>
      <c r="N299" s="7">
        <v>0.58333333333333337</v>
      </c>
      <c r="O299" t="s">
        <v>110</v>
      </c>
      <c r="P299" t="s">
        <v>93</v>
      </c>
      <c r="Q299">
        <v>420</v>
      </c>
      <c r="R299">
        <v>15.6</v>
      </c>
      <c r="S299" t="s">
        <v>111</v>
      </c>
      <c r="T299">
        <v>0</v>
      </c>
      <c r="U299" t="s">
        <v>95</v>
      </c>
      <c r="V299" t="s">
        <v>112</v>
      </c>
      <c r="W299">
        <v>3500</v>
      </c>
    </row>
    <row r="300" spans="1:23" x14ac:dyDescent="0.35">
      <c r="A300" t="s">
        <v>517</v>
      </c>
      <c r="B300" t="s">
        <v>36</v>
      </c>
      <c r="C300">
        <v>38</v>
      </c>
      <c r="D300" t="s">
        <v>11</v>
      </c>
      <c r="E300" t="s">
        <v>37</v>
      </c>
      <c r="F300" t="s">
        <v>38</v>
      </c>
      <c r="G300" t="s">
        <v>21</v>
      </c>
      <c r="H300" t="s">
        <v>39</v>
      </c>
      <c r="I300" t="s">
        <v>40</v>
      </c>
      <c r="J300" t="s">
        <v>113</v>
      </c>
      <c r="K300" t="s">
        <v>114</v>
      </c>
      <c r="L300" s="5">
        <v>45828</v>
      </c>
      <c r="M300" s="7">
        <v>0.91666666666666663</v>
      </c>
      <c r="N300" s="7">
        <v>0.57291666666666663</v>
      </c>
      <c r="O300" t="s">
        <v>115</v>
      </c>
      <c r="P300" t="s">
        <v>100</v>
      </c>
      <c r="Q300">
        <v>1980</v>
      </c>
      <c r="R300">
        <v>27.5</v>
      </c>
      <c r="S300" t="s">
        <v>94</v>
      </c>
      <c r="T300">
        <v>0</v>
      </c>
      <c r="U300" t="s">
        <v>102</v>
      </c>
      <c r="V300" t="s">
        <v>103</v>
      </c>
      <c r="W300">
        <v>9700</v>
      </c>
    </row>
    <row r="301" spans="1:23" x14ac:dyDescent="0.35">
      <c r="A301" t="s">
        <v>518</v>
      </c>
      <c r="B301" t="s">
        <v>42</v>
      </c>
      <c r="C301">
        <v>31</v>
      </c>
      <c r="D301" t="s">
        <v>18</v>
      </c>
      <c r="E301" t="s">
        <v>43</v>
      </c>
      <c r="F301" t="s">
        <v>44</v>
      </c>
      <c r="G301" t="s">
        <v>21</v>
      </c>
      <c r="H301" t="s">
        <v>15</v>
      </c>
      <c r="I301" t="s">
        <v>45</v>
      </c>
      <c r="J301" t="s">
        <v>91</v>
      </c>
      <c r="K301" t="s">
        <v>116</v>
      </c>
      <c r="L301" s="5">
        <v>45828</v>
      </c>
      <c r="M301" s="7">
        <v>0.15625</v>
      </c>
      <c r="N301" s="7">
        <v>0.47222222222222221</v>
      </c>
      <c r="O301" t="s">
        <v>117</v>
      </c>
      <c r="P301" t="s">
        <v>118</v>
      </c>
      <c r="Q301">
        <v>980</v>
      </c>
      <c r="R301">
        <v>19.3</v>
      </c>
      <c r="S301" t="s">
        <v>101</v>
      </c>
      <c r="T301">
        <v>35</v>
      </c>
      <c r="U301" t="s">
        <v>95</v>
      </c>
      <c r="V301" t="s">
        <v>96</v>
      </c>
      <c r="W301">
        <v>5400</v>
      </c>
    </row>
    <row r="302" spans="1:23" x14ac:dyDescent="0.35">
      <c r="A302" t="s">
        <v>519</v>
      </c>
      <c r="B302" t="s">
        <v>25</v>
      </c>
      <c r="C302">
        <v>41</v>
      </c>
      <c r="D302" t="s">
        <v>11</v>
      </c>
      <c r="E302" t="s">
        <v>26</v>
      </c>
      <c r="F302" t="s">
        <v>27</v>
      </c>
      <c r="G302" t="s">
        <v>21</v>
      </c>
      <c r="H302" t="s">
        <v>15</v>
      </c>
      <c r="I302" t="s">
        <v>28</v>
      </c>
      <c r="J302" t="s">
        <v>91</v>
      </c>
      <c r="K302" t="s">
        <v>104</v>
      </c>
      <c r="L302" s="5">
        <v>45829</v>
      </c>
      <c r="M302" s="7">
        <v>5.5555555555555552E-2</v>
      </c>
      <c r="N302" s="7">
        <v>0.41319444444444442</v>
      </c>
      <c r="O302" t="s">
        <v>105</v>
      </c>
      <c r="P302" t="s">
        <v>106</v>
      </c>
      <c r="Q302">
        <v>2450</v>
      </c>
      <c r="R302">
        <v>30.2</v>
      </c>
      <c r="S302" t="s">
        <v>94</v>
      </c>
      <c r="T302">
        <v>0</v>
      </c>
      <c r="U302" t="s">
        <v>107</v>
      </c>
      <c r="V302" t="s">
        <v>103</v>
      </c>
      <c r="W302">
        <v>13200</v>
      </c>
    </row>
    <row r="303" spans="1:23" x14ac:dyDescent="0.35">
      <c r="A303" t="s">
        <v>520</v>
      </c>
      <c r="B303" t="s">
        <v>30</v>
      </c>
      <c r="C303">
        <v>25</v>
      </c>
      <c r="D303" t="s">
        <v>18</v>
      </c>
      <c r="E303" t="s">
        <v>31</v>
      </c>
      <c r="F303" t="s">
        <v>32</v>
      </c>
      <c r="G303" t="s">
        <v>21</v>
      </c>
      <c r="H303" t="s">
        <v>33</v>
      </c>
      <c r="I303" t="s">
        <v>34</v>
      </c>
      <c r="J303" t="s">
        <v>108</v>
      </c>
      <c r="K303" t="s">
        <v>109</v>
      </c>
      <c r="L303" s="5">
        <v>45829</v>
      </c>
      <c r="M303" s="7">
        <v>0.34027777777777779</v>
      </c>
      <c r="N303" s="7">
        <v>0.58333333333333337</v>
      </c>
      <c r="O303" t="s">
        <v>110</v>
      </c>
      <c r="P303" t="s">
        <v>93</v>
      </c>
      <c r="Q303">
        <v>420</v>
      </c>
      <c r="R303">
        <v>15.6</v>
      </c>
      <c r="S303" t="s">
        <v>111</v>
      </c>
      <c r="T303">
        <v>0</v>
      </c>
      <c r="U303" t="s">
        <v>95</v>
      </c>
      <c r="V303" t="s">
        <v>112</v>
      </c>
      <c r="W303">
        <v>3500</v>
      </c>
    </row>
    <row r="304" spans="1:23" x14ac:dyDescent="0.35">
      <c r="A304" t="s">
        <v>521</v>
      </c>
      <c r="B304" t="s">
        <v>36</v>
      </c>
      <c r="C304">
        <v>38</v>
      </c>
      <c r="D304" t="s">
        <v>11</v>
      </c>
      <c r="E304" t="s">
        <v>37</v>
      </c>
      <c r="F304" t="s">
        <v>38</v>
      </c>
      <c r="G304" t="s">
        <v>21</v>
      </c>
      <c r="H304" t="s">
        <v>39</v>
      </c>
      <c r="I304" t="s">
        <v>40</v>
      </c>
      <c r="J304" t="s">
        <v>113</v>
      </c>
      <c r="K304" t="s">
        <v>114</v>
      </c>
      <c r="L304" s="5">
        <v>45830</v>
      </c>
      <c r="M304" s="7">
        <v>0.91666666666666663</v>
      </c>
      <c r="N304" s="7">
        <v>0.57291666666666663</v>
      </c>
      <c r="O304" t="s">
        <v>115</v>
      </c>
      <c r="P304" t="s">
        <v>100</v>
      </c>
      <c r="Q304">
        <v>1980</v>
      </c>
      <c r="R304">
        <v>27.5</v>
      </c>
      <c r="S304" t="s">
        <v>94</v>
      </c>
      <c r="T304">
        <v>0</v>
      </c>
      <c r="U304" t="s">
        <v>102</v>
      </c>
      <c r="V304" t="s">
        <v>103</v>
      </c>
      <c r="W304">
        <v>9700</v>
      </c>
    </row>
    <row r="305" spans="1:23" x14ac:dyDescent="0.35">
      <c r="A305" t="s">
        <v>522</v>
      </c>
      <c r="B305" t="s">
        <v>42</v>
      </c>
      <c r="C305">
        <v>31</v>
      </c>
      <c r="D305" t="s">
        <v>18</v>
      </c>
      <c r="E305" t="s">
        <v>43</v>
      </c>
      <c r="F305" t="s">
        <v>44</v>
      </c>
      <c r="G305" t="s">
        <v>21</v>
      </c>
      <c r="H305" t="s">
        <v>15</v>
      </c>
      <c r="I305" t="s">
        <v>45</v>
      </c>
      <c r="J305" t="s">
        <v>91</v>
      </c>
      <c r="K305" t="s">
        <v>116</v>
      </c>
      <c r="L305" s="5">
        <v>45830</v>
      </c>
      <c r="M305" s="7">
        <v>0.15625</v>
      </c>
      <c r="N305" s="7">
        <v>0.47222222222222221</v>
      </c>
      <c r="O305" t="s">
        <v>117</v>
      </c>
      <c r="P305" t="s">
        <v>118</v>
      </c>
      <c r="Q305">
        <v>980</v>
      </c>
      <c r="R305">
        <v>19.3</v>
      </c>
      <c r="S305" t="s">
        <v>101</v>
      </c>
      <c r="T305">
        <v>35</v>
      </c>
      <c r="U305" t="s">
        <v>95</v>
      </c>
      <c r="V305" t="s">
        <v>96</v>
      </c>
      <c r="W305">
        <v>5400</v>
      </c>
    </row>
    <row r="306" spans="1:23" x14ac:dyDescent="0.35">
      <c r="A306" t="s">
        <v>523</v>
      </c>
      <c r="B306" t="s">
        <v>47</v>
      </c>
      <c r="C306">
        <v>45</v>
      </c>
      <c r="D306" t="s">
        <v>11</v>
      </c>
      <c r="E306" t="s">
        <v>48</v>
      </c>
      <c r="F306" t="s">
        <v>49</v>
      </c>
      <c r="G306" t="s">
        <v>21</v>
      </c>
      <c r="H306" t="s">
        <v>14</v>
      </c>
      <c r="I306" t="s">
        <v>28</v>
      </c>
      <c r="J306" t="s">
        <v>90</v>
      </c>
      <c r="K306" t="s">
        <v>104</v>
      </c>
      <c r="L306" s="5">
        <v>45831</v>
      </c>
      <c r="M306" s="7">
        <v>0.42708333333333331</v>
      </c>
      <c r="N306" s="7">
        <v>0.77083333333333337</v>
      </c>
      <c r="O306" t="s">
        <v>119</v>
      </c>
      <c r="P306" t="s">
        <v>100</v>
      </c>
      <c r="Q306">
        <v>1650</v>
      </c>
      <c r="R306">
        <v>26.8</v>
      </c>
      <c r="S306" t="s">
        <v>94</v>
      </c>
      <c r="T306">
        <v>0</v>
      </c>
      <c r="U306" t="s">
        <v>107</v>
      </c>
      <c r="V306" t="s">
        <v>103</v>
      </c>
      <c r="W306">
        <v>11000</v>
      </c>
    </row>
    <row r="307" spans="1:23" x14ac:dyDescent="0.35">
      <c r="A307" t="s">
        <v>524</v>
      </c>
      <c r="B307" t="s">
        <v>51</v>
      </c>
      <c r="C307">
        <v>27</v>
      </c>
      <c r="D307" t="s">
        <v>18</v>
      </c>
      <c r="E307" t="s">
        <v>52</v>
      </c>
      <c r="F307" t="s">
        <v>53</v>
      </c>
      <c r="G307" t="s">
        <v>21</v>
      </c>
      <c r="H307" t="s">
        <v>22</v>
      </c>
      <c r="I307" t="s">
        <v>40</v>
      </c>
      <c r="J307" t="s">
        <v>97</v>
      </c>
      <c r="K307" t="s">
        <v>114</v>
      </c>
      <c r="L307" s="5">
        <v>45831</v>
      </c>
      <c r="M307" s="7">
        <v>0.24305555555555555</v>
      </c>
      <c r="N307" s="7">
        <v>0.72222222222222221</v>
      </c>
      <c r="O307" t="s">
        <v>120</v>
      </c>
      <c r="P307" t="s">
        <v>93</v>
      </c>
      <c r="Q307">
        <v>740</v>
      </c>
      <c r="R307">
        <v>17.2</v>
      </c>
      <c r="S307" t="s">
        <v>111</v>
      </c>
      <c r="T307">
        <v>0</v>
      </c>
      <c r="U307" t="s">
        <v>95</v>
      </c>
      <c r="V307" t="s">
        <v>96</v>
      </c>
      <c r="W307">
        <v>4100</v>
      </c>
    </row>
    <row r="308" spans="1:23" x14ac:dyDescent="0.35">
      <c r="A308" t="s">
        <v>525</v>
      </c>
      <c r="B308" t="s">
        <v>55</v>
      </c>
      <c r="C308">
        <v>36</v>
      </c>
      <c r="D308" t="s">
        <v>11</v>
      </c>
      <c r="E308" t="s">
        <v>12</v>
      </c>
      <c r="F308" s="3" t="s">
        <v>56</v>
      </c>
      <c r="G308" t="s">
        <v>13</v>
      </c>
      <c r="H308" t="s">
        <v>57</v>
      </c>
      <c r="I308" t="s">
        <v>33</v>
      </c>
      <c r="J308" t="s">
        <v>121</v>
      </c>
      <c r="K308" t="s">
        <v>108</v>
      </c>
      <c r="L308" s="5">
        <v>45832</v>
      </c>
      <c r="M308" s="7">
        <v>0.60069444444444442</v>
      </c>
      <c r="N308" s="7">
        <v>0.71527777777777779</v>
      </c>
      <c r="O308" t="s">
        <v>122</v>
      </c>
      <c r="P308" t="s">
        <v>93</v>
      </c>
      <c r="Q308">
        <v>125</v>
      </c>
      <c r="R308">
        <v>12</v>
      </c>
      <c r="S308" t="s">
        <v>94</v>
      </c>
      <c r="T308">
        <v>0</v>
      </c>
      <c r="U308" t="s">
        <v>102</v>
      </c>
      <c r="V308" t="s">
        <v>103</v>
      </c>
      <c r="W308">
        <v>1800</v>
      </c>
    </row>
    <row r="309" spans="1:23" x14ac:dyDescent="0.35">
      <c r="A309" t="s">
        <v>526</v>
      </c>
      <c r="B309" t="s">
        <v>59</v>
      </c>
      <c r="C309">
        <v>30</v>
      </c>
      <c r="D309" t="s">
        <v>18</v>
      </c>
      <c r="E309" t="s">
        <v>19</v>
      </c>
      <c r="F309" t="s">
        <v>60</v>
      </c>
      <c r="G309" t="s">
        <v>13</v>
      </c>
      <c r="H309" t="s">
        <v>15</v>
      </c>
      <c r="I309" t="s">
        <v>14</v>
      </c>
      <c r="J309" t="s">
        <v>91</v>
      </c>
      <c r="K309" t="s">
        <v>90</v>
      </c>
      <c r="L309" s="5">
        <v>45832</v>
      </c>
      <c r="M309" s="7">
        <v>0.40277777777777779</v>
      </c>
      <c r="N309" s="7">
        <v>0.51736111111111116</v>
      </c>
      <c r="O309" t="s">
        <v>123</v>
      </c>
      <c r="P309" t="s">
        <v>118</v>
      </c>
      <c r="Q309">
        <v>310</v>
      </c>
      <c r="R309">
        <v>20.5</v>
      </c>
      <c r="S309" t="s">
        <v>101</v>
      </c>
      <c r="T309">
        <v>35</v>
      </c>
      <c r="U309" t="s">
        <v>95</v>
      </c>
      <c r="V309" t="s">
        <v>96</v>
      </c>
      <c r="W309">
        <v>6200</v>
      </c>
    </row>
    <row r="310" spans="1:23" x14ac:dyDescent="0.35">
      <c r="A310" t="s">
        <v>527</v>
      </c>
      <c r="B310" t="s">
        <v>62</v>
      </c>
      <c r="C310">
        <v>52</v>
      </c>
      <c r="D310" t="s">
        <v>11</v>
      </c>
      <c r="E310" t="s">
        <v>26</v>
      </c>
      <c r="F310" t="s">
        <v>63</v>
      </c>
      <c r="G310" t="s">
        <v>21</v>
      </c>
      <c r="H310" t="s">
        <v>22</v>
      </c>
      <c r="I310" t="s">
        <v>23</v>
      </c>
      <c r="J310" t="s">
        <v>97</v>
      </c>
      <c r="K310" t="s">
        <v>98</v>
      </c>
      <c r="L310" s="5">
        <v>45833</v>
      </c>
      <c r="M310" s="7">
        <v>0.96875</v>
      </c>
      <c r="N310" s="7">
        <v>0.12152777777777778</v>
      </c>
      <c r="O310" t="s">
        <v>124</v>
      </c>
      <c r="P310" t="s">
        <v>100</v>
      </c>
      <c r="Q310">
        <v>1200</v>
      </c>
      <c r="R310">
        <v>28</v>
      </c>
      <c r="S310" t="s">
        <v>94</v>
      </c>
      <c r="T310">
        <v>0</v>
      </c>
      <c r="U310" t="s">
        <v>107</v>
      </c>
      <c r="V310" t="s">
        <v>125</v>
      </c>
      <c r="W310">
        <v>14000</v>
      </c>
    </row>
    <row r="311" spans="1:23" x14ac:dyDescent="0.35">
      <c r="A311" t="s">
        <v>528</v>
      </c>
      <c r="B311" t="s">
        <v>65</v>
      </c>
      <c r="C311">
        <v>24</v>
      </c>
      <c r="D311" t="s">
        <v>18</v>
      </c>
      <c r="E311" t="s">
        <v>12</v>
      </c>
      <c r="F311" s="3" t="s">
        <v>66</v>
      </c>
      <c r="G311" t="s">
        <v>13</v>
      </c>
      <c r="H311" t="s">
        <v>39</v>
      </c>
      <c r="I311" t="s">
        <v>15</v>
      </c>
      <c r="J311" t="s">
        <v>113</v>
      </c>
      <c r="K311" t="s">
        <v>91</v>
      </c>
      <c r="L311" s="5">
        <v>45833</v>
      </c>
      <c r="M311" s="7">
        <v>0.25694444444444442</v>
      </c>
      <c r="N311" s="7">
        <v>0.3611111111111111</v>
      </c>
      <c r="O311" t="s">
        <v>126</v>
      </c>
      <c r="P311" t="s">
        <v>93</v>
      </c>
      <c r="Q311">
        <v>160</v>
      </c>
      <c r="R311">
        <v>10.4</v>
      </c>
      <c r="S311" t="s">
        <v>111</v>
      </c>
      <c r="T311">
        <v>0</v>
      </c>
      <c r="U311" t="s">
        <v>102</v>
      </c>
      <c r="V311" t="s">
        <v>112</v>
      </c>
      <c r="W311">
        <v>900</v>
      </c>
    </row>
    <row r="312" spans="1:23" x14ac:dyDescent="0.35">
      <c r="A312" t="s">
        <v>529</v>
      </c>
      <c r="B312" t="s">
        <v>68</v>
      </c>
      <c r="C312">
        <v>40</v>
      </c>
      <c r="D312" t="s">
        <v>11</v>
      </c>
      <c r="E312" t="s">
        <v>37</v>
      </c>
      <c r="F312" t="s">
        <v>69</v>
      </c>
      <c r="G312" t="s">
        <v>21</v>
      </c>
      <c r="H312" t="s">
        <v>33</v>
      </c>
      <c r="I312" t="s">
        <v>34</v>
      </c>
      <c r="J312" t="s">
        <v>108</v>
      </c>
      <c r="K312" t="s">
        <v>109</v>
      </c>
      <c r="L312" s="5">
        <v>45834</v>
      </c>
      <c r="M312" s="7">
        <v>0.84722222222222221</v>
      </c>
      <c r="N312" s="7">
        <v>9.0277777777777776E-2</v>
      </c>
      <c r="O312" t="s">
        <v>127</v>
      </c>
      <c r="P312" t="s">
        <v>100</v>
      </c>
      <c r="Q312">
        <v>1340</v>
      </c>
      <c r="R312">
        <v>22.6</v>
      </c>
      <c r="S312" t="s">
        <v>94</v>
      </c>
      <c r="T312">
        <v>0</v>
      </c>
      <c r="U312" t="s">
        <v>95</v>
      </c>
      <c r="V312" t="s">
        <v>103</v>
      </c>
      <c r="W312">
        <v>8700</v>
      </c>
    </row>
    <row r="313" spans="1:23" x14ac:dyDescent="0.35">
      <c r="A313" t="s">
        <v>530</v>
      </c>
      <c r="B313" t="s">
        <v>71</v>
      </c>
      <c r="C313">
        <v>33</v>
      </c>
      <c r="D313" t="s">
        <v>18</v>
      </c>
      <c r="E313" t="s">
        <v>43</v>
      </c>
      <c r="F313" t="s">
        <v>72</v>
      </c>
      <c r="G313" t="s">
        <v>21</v>
      </c>
      <c r="H313" t="s">
        <v>15</v>
      </c>
      <c r="I313" t="s">
        <v>40</v>
      </c>
      <c r="J313" t="s">
        <v>91</v>
      </c>
      <c r="K313" t="s">
        <v>114</v>
      </c>
      <c r="L313" s="5">
        <v>45834</v>
      </c>
      <c r="M313" s="7">
        <v>0.11805555555555555</v>
      </c>
      <c r="N313" s="7">
        <v>0.64583333333333337</v>
      </c>
      <c r="O313" t="s">
        <v>128</v>
      </c>
      <c r="P313" t="s">
        <v>106</v>
      </c>
      <c r="Q313">
        <v>2600</v>
      </c>
      <c r="R313">
        <v>31.4</v>
      </c>
      <c r="S313" t="s">
        <v>101</v>
      </c>
      <c r="T313">
        <v>90</v>
      </c>
      <c r="U313" t="s">
        <v>107</v>
      </c>
      <c r="V313" t="s">
        <v>96</v>
      </c>
      <c r="W313">
        <v>15000</v>
      </c>
    </row>
    <row r="314" spans="1:23" x14ac:dyDescent="0.35">
      <c r="A314" t="s">
        <v>531</v>
      </c>
      <c r="B314" t="s">
        <v>74</v>
      </c>
      <c r="C314">
        <v>47</v>
      </c>
      <c r="D314" t="s">
        <v>11</v>
      </c>
      <c r="E314" t="s">
        <v>19</v>
      </c>
      <c r="F314" t="s">
        <v>75</v>
      </c>
      <c r="G314" t="s">
        <v>21</v>
      </c>
      <c r="H314" t="s">
        <v>14</v>
      </c>
      <c r="I314" t="s">
        <v>23</v>
      </c>
      <c r="J314" t="s">
        <v>90</v>
      </c>
      <c r="K314" t="s">
        <v>98</v>
      </c>
      <c r="L314" s="5">
        <v>45835</v>
      </c>
      <c r="M314" s="7">
        <v>0.54513888888888884</v>
      </c>
      <c r="N314" s="7">
        <v>0.71875</v>
      </c>
      <c r="O314" t="s">
        <v>129</v>
      </c>
      <c r="P314" t="s">
        <v>93</v>
      </c>
      <c r="Q314">
        <v>390</v>
      </c>
      <c r="R314">
        <v>16.100000000000001</v>
      </c>
      <c r="S314" t="s">
        <v>94</v>
      </c>
      <c r="T314">
        <v>0</v>
      </c>
      <c r="U314" t="s">
        <v>95</v>
      </c>
      <c r="V314" t="s">
        <v>103</v>
      </c>
      <c r="W314">
        <v>3000</v>
      </c>
    </row>
    <row r="315" spans="1:23" x14ac:dyDescent="0.35">
      <c r="A315" t="s">
        <v>532</v>
      </c>
      <c r="B315" t="s">
        <v>131</v>
      </c>
      <c r="C315">
        <v>28</v>
      </c>
      <c r="D315" t="s">
        <v>18</v>
      </c>
      <c r="E315" t="s">
        <v>52</v>
      </c>
      <c r="F315" t="s">
        <v>132</v>
      </c>
      <c r="G315" t="s">
        <v>21</v>
      </c>
      <c r="H315" t="s">
        <v>33</v>
      </c>
      <c r="I315" t="s">
        <v>28</v>
      </c>
      <c r="J315" t="s">
        <v>108</v>
      </c>
      <c r="K315" t="s">
        <v>104</v>
      </c>
      <c r="L315" s="5">
        <v>45835</v>
      </c>
      <c r="M315" s="7">
        <v>0.32291666666666669</v>
      </c>
      <c r="N315" s="7">
        <v>0.75694444444444442</v>
      </c>
      <c r="O315" t="s">
        <v>133</v>
      </c>
      <c r="P315" t="s">
        <v>118</v>
      </c>
      <c r="Q315">
        <v>980</v>
      </c>
      <c r="R315">
        <v>21</v>
      </c>
      <c r="S315" t="s">
        <v>111</v>
      </c>
      <c r="T315">
        <v>0</v>
      </c>
      <c r="U315" t="s">
        <v>102</v>
      </c>
      <c r="V315" t="s">
        <v>96</v>
      </c>
      <c r="W315">
        <v>7200</v>
      </c>
    </row>
    <row r="316" spans="1:23" x14ac:dyDescent="0.35">
      <c r="A316" t="s">
        <v>533</v>
      </c>
      <c r="B316" t="s">
        <v>135</v>
      </c>
      <c r="C316">
        <v>39</v>
      </c>
      <c r="D316" t="s">
        <v>11</v>
      </c>
      <c r="E316" t="s">
        <v>12</v>
      </c>
      <c r="F316" s="3" t="s">
        <v>136</v>
      </c>
      <c r="G316" t="s">
        <v>13</v>
      </c>
      <c r="H316" t="s">
        <v>15</v>
      </c>
      <c r="I316" t="s">
        <v>22</v>
      </c>
      <c r="J316" t="s">
        <v>91</v>
      </c>
      <c r="K316" t="s">
        <v>97</v>
      </c>
      <c r="L316" s="5">
        <v>45836</v>
      </c>
      <c r="M316" s="7">
        <v>0.47916666666666669</v>
      </c>
      <c r="N316" s="7">
        <v>0.56944444444444442</v>
      </c>
      <c r="O316" t="s">
        <v>137</v>
      </c>
      <c r="P316" t="s">
        <v>93</v>
      </c>
      <c r="Q316">
        <v>110</v>
      </c>
      <c r="R316">
        <v>8.6</v>
      </c>
      <c r="S316" t="s">
        <v>94</v>
      </c>
      <c r="T316">
        <v>0</v>
      </c>
      <c r="U316" t="s">
        <v>95</v>
      </c>
      <c r="V316" t="s">
        <v>103</v>
      </c>
      <c r="W316">
        <v>1500</v>
      </c>
    </row>
    <row r="317" spans="1:23" x14ac:dyDescent="0.35">
      <c r="A317" t="s">
        <v>534</v>
      </c>
      <c r="B317" t="s">
        <v>139</v>
      </c>
      <c r="C317">
        <v>26</v>
      </c>
      <c r="D317" t="s">
        <v>18</v>
      </c>
      <c r="E317" t="s">
        <v>19</v>
      </c>
      <c r="F317" t="s">
        <v>140</v>
      </c>
      <c r="G317" t="s">
        <v>13</v>
      </c>
      <c r="H317" t="s">
        <v>57</v>
      </c>
      <c r="I317" t="s">
        <v>39</v>
      </c>
      <c r="J317" t="s">
        <v>121</v>
      </c>
      <c r="K317" t="s">
        <v>113</v>
      </c>
      <c r="L317" s="5">
        <v>45836</v>
      </c>
      <c r="M317" s="7">
        <v>0.66666666666666663</v>
      </c>
      <c r="N317" s="7">
        <v>0.76736111111111116</v>
      </c>
      <c r="O317" t="s">
        <v>141</v>
      </c>
      <c r="P317" t="s">
        <v>93</v>
      </c>
      <c r="Q317">
        <v>140</v>
      </c>
      <c r="R317">
        <v>11.2</v>
      </c>
      <c r="S317" t="s">
        <v>101</v>
      </c>
      <c r="T317">
        <v>20</v>
      </c>
      <c r="U317" t="s">
        <v>95</v>
      </c>
      <c r="V317" t="s">
        <v>96</v>
      </c>
      <c r="W317">
        <v>2700</v>
      </c>
    </row>
    <row r="318" spans="1:23" x14ac:dyDescent="0.35">
      <c r="A318" t="s">
        <v>535</v>
      </c>
      <c r="B318" t="s">
        <v>143</v>
      </c>
      <c r="C318">
        <v>50</v>
      </c>
      <c r="D318" t="s">
        <v>11</v>
      </c>
      <c r="E318" t="s">
        <v>26</v>
      </c>
      <c r="F318" t="s">
        <v>144</v>
      </c>
      <c r="G318" t="s">
        <v>21</v>
      </c>
      <c r="H318" t="s">
        <v>14</v>
      </c>
      <c r="I318" t="s">
        <v>34</v>
      </c>
      <c r="J318" t="s">
        <v>90</v>
      </c>
      <c r="K318" t="s">
        <v>109</v>
      </c>
      <c r="L318" s="5">
        <v>45837</v>
      </c>
      <c r="M318" s="7">
        <v>0.88194444444444442</v>
      </c>
      <c r="N318" s="7">
        <v>0.2013888888888889</v>
      </c>
      <c r="O318" t="s">
        <v>145</v>
      </c>
      <c r="P318" t="s">
        <v>100</v>
      </c>
      <c r="Q318">
        <v>1450</v>
      </c>
      <c r="R318">
        <v>25.9</v>
      </c>
      <c r="S318" t="s">
        <v>94</v>
      </c>
      <c r="T318">
        <v>0</v>
      </c>
      <c r="U318" t="s">
        <v>107</v>
      </c>
      <c r="V318" t="s">
        <v>125</v>
      </c>
      <c r="W318">
        <v>11800</v>
      </c>
    </row>
    <row r="319" spans="1:23" x14ac:dyDescent="0.35">
      <c r="A319" t="s">
        <v>536</v>
      </c>
      <c r="B319" t="s">
        <v>222</v>
      </c>
      <c r="C319">
        <v>31</v>
      </c>
      <c r="D319" t="s">
        <v>18</v>
      </c>
      <c r="E319" t="s">
        <v>31</v>
      </c>
      <c r="F319" t="s">
        <v>148</v>
      </c>
      <c r="G319" t="s">
        <v>21</v>
      </c>
      <c r="H319" t="s">
        <v>15</v>
      </c>
      <c r="I319" t="s">
        <v>23</v>
      </c>
      <c r="J319" t="s">
        <v>91</v>
      </c>
      <c r="K319" t="s">
        <v>98</v>
      </c>
      <c r="L319" s="5">
        <v>45837</v>
      </c>
      <c r="M319" s="7">
        <v>0.18402777777777779</v>
      </c>
      <c r="N319" s="7">
        <v>0.33333333333333331</v>
      </c>
      <c r="O319" t="s">
        <v>149</v>
      </c>
      <c r="P319" t="s">
        <v>93</v>
      </c>
      <c r="Q319">
        <v>330</v>
      </c>
      <c r="R319">
        <v>13.5</v>
      </c>
      <c r="S319" t="s">
        <v>111</v>
      </c>
      <c r="T319">
        <v>0</v>
      </c>
      <c r="U319" t="s">
        <v>102</v>
      </c>
      <c r="V319" t="s">
        <v>112</v>
      </c>
      <c r="W319">
        <v>2100</v>
      </c>
    </row>
    <row r="320" spans="1:23" x14ac:dyDescent="0.35">
      <c r="A320" t="s">
        <v>537</v>
      </c>
      <c r="B320" t="s">
        <v>224</v>
      </c>
      <c r="C320">
        <v>44</v>
      </c>
      <c r="D320" t="s">
        <v>11</v>
      </c>
      <c r="E320" t="s">
        <v>12</v>
      </c>
      <c r="F320" s="3" t="s">
        <v>225</v>
      </c>
      <c r="G320" t="s">
        <v>13</v>
      </c>
      <c r="H320" t="s">
        <v>22</v>
      </c>
      <c r="I320" t="s">
        <v>57</v>
      </c>
      <c r="J320" t="s">
        <v>97</v>
      </c>
      <c r="K320" t="s">
        <v>121</v>
      </c>
      <c r="L320" s="5">
        <v>45838</v>
      </c>
      <c r="M320" s="7">
        <v>0.38194444444444442</v>
      </c>
      <c r="N320" s="7">
        <v>0.4861111111111111</v>
      </c>
      <c r="O320" t="s">
        <v>226</v>
      </c>
      <c r="P320" t="s">
        <v>93</v>
      </c>
      <c r="Q320">
        <v>125</v>
      </c>
      <c r="R320">
        <v>12</v>
      </c>
      <c r="S320" t="s">
        <v>94</v>
      </c>
      <c r="T320">
        <v>0</v>
      </c>
      <c r="U320" t="s">
        <v>95</v>
      </c>
      <c r="V320" t="s">
        <v>103</v>
      </c>
      <c r="W320">
        <v>2100</v>
      </c>
    </row>
    <row r="321" spans="1:23" x14ac:dyDescent="0.35">
      <c r="A321" t="s">
        <v>538</v>
      </c>
      <c r="B321" t="s">
        <v>30</v>
      </c>
      <c r="C321">
        <v>25</v>
      </c>
      <c r="D321" t="s">
        <v>18</v>
      </c>
      <c r="E321" t="s">
        <v>19</v>
      </c>
      <c r="F321" t="s">
        <v>20</v>
      </c>
      <c r="G321" t="s">
        <v>21</v>
      </c>
      <c r="H321" t="s">
        <v>15</v>
      </c>
      <c r="I321" t="s">
        <v>28</v>
      </c>
      <c r="J321" t="s">
        <v>91</v>
      </c>
      <c r="K321" t="s">
        <v>104</v>
      </c>
      <c r="L321" s="5">
        <v>45838</v>
      </c>
      <c r="M321" s="7">
        <v>5.2083333333333336E-2</v>
      </c>
      <c r="N321" s="7">
        <v>0.40972222222222221</v>
      </c>
      <c r="O321" t="s">
        <v>99</v>
      </c>
      <c r="P321" t="s">
        <v>100</v>
      </c>
      <c r="Q321">
        <v>860</v>
      </c>
      <c r="R321">
        <v>24</v>
      </c>
      <c r="S321" t="s">
        <v>101</v>
      </c>
      <c r="T321">
        <v>50</v>
      </c>
      <c r="U321" t="s">
        <v>102</v>
      </c>
      <c r="V321" t="s">
        <v>96</v>
      </c>
      <c r="W321">
        <v>8400</v>
      </c>
    </row>
    <row r="322" spans="1:23" x14ac:dyDescent="0.35">
      <c r="A322" t="s">
        <v>539</v>
      </c>
      <c r="B322" t="s">
        <v>197</v>
      </c>
      <c r="C322">
        <v>38</v>
      </c>
      <c r="D322" t="s">
        <v>11</v>
      </c>
      <c r="E322" t="s">
        <v>37</v>
      </c>
      <c r="F322" t="s">
        <v>38</v>
      </c>
      <c r="G322" t="s">
        <v>21</v>
      </c>
      <c r="H322" t="s">
        <v>39</v>
      </c>
      <c r="I322" t="s">
        <v>40</v>
      </c>
      <c r="J322" t="s">
        <v>113</v>
      </c>
      <c r="K322" t="s">
        <v>114</v>
      </c>
      <c r="L322" s="5">
        <v>45839</v>
      </c>
      <c r="M322" s="7">
        <v>0.91666666666666663</v>
      </c>
      <c r="N322" s="7">
        <v>0.57291666666666663</v>
      </c>
      <c r="O322" t="s">
        <v>115</v>
      </c>
      <c r="P322" t="s">
        <v>100</v>
      </c>
      <c r="Q322">
        <v>1980</v>
      </c>
      <c r="R322">
        <v>27.5</v>
      </c>
      <c r="S322" t="s">
        <v>94</v>
      </c>
      <c r="T322">
        <v>0</v>
      </c>
      <c r="U322" t="s">
        <v>102</v>
      </c>
      <c r="V322" t="s">
        <v>103</v>
      </c>
      <c r="W322">
        <v>9700</v>
      </c>
    </row>
    <row r="323" spans="1:23" x14ac:dyDescent="0.35">
      <c r="A323" t="s">
        <v>540</v>
      </c>
      <c r="B323" t="s">
        <v>42</v>
      </c>
      <c r="C323">
        <v>31</v>
      </c>
      <c r="D323" t="s">
        <v>18</v>
      </c>
      <c r="E323" t="s">
        <v>43</v>
      </c>
      <c r="F323" t="s">
        <v>44</v>
      </c>
      <c r="G323" t="s">
        <v>21</v>
      </c>
      <c r="H323" t="s">
        <v>15</v>
      </c>
      <c r="I323" t="s">
        <v>45</v>
      </c>
      <c r="J323" t="s">
        <v>91</v>
      </c>
      <c r="K323" t="s">
        <v>116</v>
      </c>
      <c r="L323" s="5">
        <v>45839</v>
      </c>
      <c r="M323" s="7">
        <v>0.15625</v>
      </c>
      <c r="N323" s="7">
        <v>0.47222222222222221</v>
      </c>
      <c r="O323" t="s">
        <v>117</v>
      </c>
      <c r="P323" t="s">
        <v>118</v>
      </c>
      <c r="Q323">
        <v>980</v>
      </c>
      <c r="R323">
        <v>19.3</v>
      </c>
      <c r="S323" t="s">
        <v>94</v>
      </c>
      <c r="T323">
        <v>0</v>
      </c>
      <c r="U323" t="s">
        <v>95</v>
      </c>
      <c r="V323" t="s">
        <v>96</v>
      </c>
      <c r="W323">
        <v>5400</v>
      </c>
    </row>
    <row r="324" spans="1:23" x14ac:dyDescent="0.35">
      <c r="A324" t="s">
        <v>541</v>
      </c>
      <c r="B324" t="s">
        <v>231</v>
      </c>
      <c r="C324">
        <v>35</v>
      </c>
      <c r="D324" t="s">
        <v>11</v>
      </c>
      <c r="E324" t="s">
        <v>26</v>
      </c>
      <c r="F324" t="s">
        <v>232</v>
      </c>
      <c r="G324" t="s">
        <v>21</v>
      </c>
      <c r="H324" t="s">
        <v>22</v>
      </c>
      <c r="I324" t="s">
        <v>28</v>
      </c>
      <c r="J324" t="s">
        <v>97</v>
      </c>
      <c r="K324" t="s">
        <v>104</v>
      </c>
      <c r="L324" s="5">
        <v>45840</v>
      </c>
      <c r="M324" s="7">
        <v>9.0277777777777776E-2</v>
      </c>
      <c r="N324" s="7">
        <v>0.36805555555555558</v>
      </c>
      <c r="O324" t="s">
        <v>119</v>
      </c>
      <c r="P324" t="s">
        <v>100</v>
      </c>
      <c r="Q324">
        <v>1800</v>
      </c>
      <c r="R324">
        <v>26.5</v>
      </c>
      <c r="S324" t="s">
        <v>94</v>
      </c>
      <c r="T324">
        <v>0</v>
      </c>
      <c r="U324" t="s">
        <v>107</v>
      </c>
      <c r="V324" t="s">
        <v>103</v>
      </c>
      <c r="W324">
        <v>12000</v>
      </c>
    </row>
    <row r="325" spans="1:23" x14ac:dyDescent="0.35">
      <c r="A325" t="s">
        <v>542</v>
      </c>
      <c r="B325" t="s">
        <v>234</v>
      </c>
      <c r="C325">
        <v>28</v>
      </c>
      <c r="D325" t="s">
        <v>18</v>
      </c>
      <c r="E325" t="s">
        <v>12</v>
      </c>
      <c r="F325" s="3" t="s">
        <v>235</v>
      </c>
      <c r="G325" t="s">
        <v>13</v>
      </c>
      <c r="H325" t="s">
        <v>14</v>
      </c>
      <c r="I325" t="s">
        <v>15</v>
      </c>
      <c r="J325" t="s">
        <v>90</v>
      </c>
      <c r="K325" t="s">
        <v>91</v>
      </c>
      <c r="L325" s="5">
        <v>45840</v>
      </c>
      <c r="M325" s="7">
        <v>0.28125</v>
      </c>
      <c r="N325" s="7">
        <v>0.3888888888888889</v>
      </c>
      <c r="O325" t="s">
        <v>236</v>
      </c>
      <c r="P325" t="s">
        <v>93</v>
      </c>
      <c r="Q325">
        <v>150</v>
      </c>
      <c r="R325">
        <v>11.2</v>
      </c>
      <c r="S325" t="s">
        <v>101</v>
      </c>
      <c r="T325">
        <v>30</v>
      </c>
      <c r="U325" t="s">
        <v>102</v>
      </c>
      <c r="V325" t="s">
        <v>96</v>
      </c>
      <c r="W325">
        <v>3200</v>
      </c>
    </row>
    <row r="326" spans="1:23" x14ac:dyDescent="0.35">
      <c r="A326" t="s">
        <v>543</v>
      </c>
      <c r="B326" t="s">
        <v>25</v>
      </c>
      <c r="C326">
        <v>41</v>
      </c>
      <c r="D326" t="s">
        <v>11</v>
      </c>
      <c r="E326" t="s">
        <v>26</v>
      </c>
      <c r="F326" t="s">
        <v>27</v>
      </c>
      <c r="G326" t="s">
        <v>21</v>
      </c>
      <c r="H326" t="s">
        <v>15</v>
      </c>
      <c r="I326" t="s">
        <v>28</v>
      </c>
      <c r="J326" t="s">
        <v>91</v>
      </c>
      <c r="K326" t="s">
        <v>104</v>
      </c>
      <c r="L326" s="5">
        <v>45841</v>
      </c>
      <c r="M326" s="7">
        <v>5.5555555555555552E-2</v>
      </c>
      <c r="N326" s="7">
        <v>0.41319444444444442</v>
      </c>
      <c r="O326" t="s">
        <v>105</v>
      </c>
      <c r="P326" t="s">
        <v>106</v>
      </c>
      <c r="Q326">
        <v>2450</v>
      </c>
      <c r="R326">
        <v>30.2</v>
      </c>
      <c r="S326" t="s">
        <v>94</v>
      </c>
      <c r="T326">
        <v>0</v>
      </c>
      <c r="U326" t="s">
        <v>107</v>
      </c>
      <c r="V326" t="s">
        <v>103</v>
      </c>
      <c r="W326">
        <v>13200</v>
      </c>
    </row>
    <row r="327" spans="1:23" x14ac:dyDescent="0.35">
      <c r="A327" t="s">
        <v>544</v>
      </c>
      <c r="B327" t="s">
        <v>30</v>
      </c>
      <c r="C327">
        <v>25</v>
      </c>
      <c r="D327" t="s">
        <v>18</v>
      </c>
      <c r="E327" t="s">
        <v>31</v>
      </c>
      <c r="F327" t="s">
        <v>32</v>
      </c>
      <c r="G327" t="s">
        <v>21</v>
      </c>
      <c r="H327" t="s">
        <v>33</v>
      </c>
      <c r="I327" t="s">
        <v>34</v>
      </c>
      <c r="J327" t="s">
        <v>108</v>
      </c>
      <c r="K327" t="s">
        <v>109</v>
      </c>
      <c r="L327" s="5">
        <v>45841</v>
      </c>
      <c r="M327" s="7">
        <v>0.34027777777777779</v>
      </c>
      <c r="N327" s="7">
        <v>0.58333333333333337</v>
      </c>
      <c r="O327" t="s">
        <v>110</v>
      </c>
      <c r="P327" t="s">
        <v>93</v>
      </c>
      <c r="Q327">
        <v>420</v>
      </c>
      <c r="R327">
        <v>15.6</v>
      </c>
      <c r="S327" t="s">
        <v>111</v>
      </c>
      <c r="T327">
        <v>0</v>
      </c>
      <c r="U327" t="s">
        <v>95</v>
      </c>
      <c r="V327" t="s">
        <v>112</v>
      </c>
      <c r="W327">
        <v>3500</v>
      </c>
    </row>
    <row r="328" spans="1:23" x14ac:dyDescent="0.35">
      <c r="A328" t="s">
        <v>545</v>
      </c>
      <c r="B328" t="s">
        <v>36</v>
      </c>
      <c r="C328">
        <v>38</v>
      </c>
      <c r="D328" t="s">
        <v>11</v>
      </c>
      <c r="E328" t="s">
        <v>37</v>
      </c>
      <c r="F328" t="s">
        <v>38</v>
      </c>
      <c r="G328" t="s">
        <v>21</v>
      </c>
      <c r="H328" t="s">
        <v>39</v>
      </c>
      <c r="I328" t="s">
        <v>40</v>
      </c>
      <c r="J328" t="s">
        <v>113</v>
      </c>
      <c r="K328" t="s">
        <v>114</v>
      </c>
      <c r="L328" s="5">
        <v>45842</v>
      </c>
      <c r="M328" s="7">
        <v>0.91666666666666663</v>
      </c>
      <c r="N328" s="7">
        <v>0.57291666666666663</v>
      </c>
      <c r="O328" t="s">
        <v>115</v>
      </c>
      <c r="P328" t="s">
        <v>100</v>
      </c>
      <c r="Q328">
        <v>1980</v>
      </c>
      <c r="R328">
        <v>27.5</v>
      </c>
      <c r="S328" t="s">
        <v>94</v>
      </c>
      <c r="T328">
        <v>0</v>
      </c>
      <c r="U328" t="s">
        <v>102</v>
      </c>
      <c r="V328" t="s">
        <v>103</v>
      </c>
      <c r="W328">
        <v>9700</v>
      </c>
    </row>
    <row r="329" spans="1:23" x14ac:dyDescent="0.35">
      <c r="A329" t="s">
        <v>546</v>
      </c>
      <c r="B329" t="s">
        <v>42</v>
      </c>
      <c r="C329">
        <v>31</v>
      </c>
      <c r="D329" t="s">
        <v>18</v>
      </c>
      <c r="E329" t="s">
        <v>43</v>
      </c>
      <c r="F329" t="s">
        <v>44</v>
      </c>
      <c r="G329" t="s">
        <v>21</v>
      </c>
      <c r="H329" t="s">
        <v>15</v>
      </c>
      <c r="I329" t="s">
        <v>45</v>
      </c>
      <c r="J329" t="s">
        <v>91</v>
      </c>
      <c r="K329" t="s">
        <v>116</v>
      </c>
      <c r="L329" s="5">
        <v>45842</v>
      </c>
      <c r="M329" s="7">
        <v>0.15625</v>
      </c>
      <c r="N329" s="7">
        <v>0.47222222222222221</v>
      </c>
      <c r="O329" t="s">
        <v>117</v>
      </c>
      <c r="P329" t="s">
        <v>118</v>
      </c>
      <c r="Q329">
        <v>980</v>
      </c>
      <c r="R329">
        <v>19.3</v>
      </c>
      <c r="S329" t="s">
        <v>101</v>
      </c>
      <c r="T329">
        <v>35</v>
      </c>
      <c r="U329" t="s">
        <v>95</v>
      </c>
      <c r="V329" t="s">
        <v>96</v>
      </c>
      <c r="W329">
        <v>5400</v>
      </c>
    </row>
    <row r="330" spans="1:23" x14ac:dyDescent="0.35">
      <c r="A330" t="s">
        <v>547</v>
      </c>
      <c r="B330" t="s">
        <v>47</v>
      </c>
      <c r="C330">
        <v>45</v>
      </c>
      <c r="D330" t="s">
        <v>11</v>
      </c>
      <c r="E330" t="s">
        <v>48</v>
      </c>
      <c r="F330" t="s">
        <v>49</v>
      </c>
      <c r="G330" t="s">
        <v>21</v>
      </c>
      <c r="H330" t="s">
        <v>14</v>
      </c>
      <c r="I330" t="s">
        <v>28</v>
      </c>
      <c r="J330" t="s">
        <v>90</v>
      </c>
      <c r="K330" t="s">
        <v>104</v>
      </c>
      <c r="L330" s="5">
        <v>45843</v>
      </c>
      <c r="M330" s="7">
        <v>0.42708333333333331</v>
      </c>
      <c r="N330" s="7">
        <v>0.77083333333333337</v>
      </c>
      <c r="O330" t="s">
        <v>119</v>
      </c>
      <c r="P330" t="s">
        <v>100</v>
      </c>
      <c r="Q330">
        <v>1650</v>
      </c>
      <c r="R330">
        <v>26.8</v>
      </c>
      <c r="S330" t="s">
        <v>94</v>
      </c>
      <c r="T330">
        <v>0</v>
      </c>
      <c r="U330" t="s">
        <v>107</v>
      </c>
      <c r="V330" t="s">
        <v>103</v>
      </c>
      <c r="W330">
        <v>11000</v>
      </c>
    </row>
    <row r="331" spans="1:23" x14ac:dyDescent="0.35">
      <c r="A331" t="s">
        <v>548</v>
      </c>
      <c r="B331" t="s">
        <v>51</v>
      </c>
      <c r="C331">
        <v>27</v>
      </c>
      <c r="D331" t="s">
        <v>18</v>
      </c>
      <c r="E331" t="s">
        <v>52</v>
      </c>
      <c r="F331" t="s">
        <v>53</v>
      </c>
      <c r="G331" t="s">
        <v>21</v>
      </c>
      <c r="H331" t="s">
        <v>22</v>
      </c>
      <c r="I331" t="s">
        <v>40</v>
      </c>
      <c r="J331" t="s">
        <v>97</v>
      </c>
      <c r="K331" t="s">
        <v>114</v>
      </c>
      <c r="L331" s="5">
        <v>45843</v>
      </c>
      <c r="M331" s="7">
        <v>0.24305555555555555</v>
      </c>
      <c r="N331" s="7">
        <v>0.72222222222222221</v>
      </c>
      <c r="O331" t="s">
        <v>120</v>
      </c>
      <c r="P331" t="s">
        <v>93</v>
      </c>
      <c r="Q331">
        <v>740</v>
      </c>
      <c r="R331">
        <v>17.2</v>
      </c>
      <c r="S331" t="s">
        <v>111</v>
      </c>
      <c r="T331">
        <v>0</v>
      </c>
      <c r="U331" t="s">
        <v>95</v>
      </c>
      <c r="V331" t="s">
        <v>96</v>
      </c>
      <c r="W331">
        <v>4100</v>
      </c>
    </row>
    <row r="332" spans="1:23" x14ac:dyDescent="0.35">
      <c r="A332" t="s">
        <v>549</v>
      </c>
      <c r="B332" t="s">
        <v>55</v>
      </c>
      <c r="C332">
        <v>36</v>
      </c>
      <c r="D332" t="s">
        <v>11</v>
      </c>
      <c r="E332" t="s">
        <v>12</v>
      </c>
      <c r="F332" s="3" t="s">
        <v>56</v>
      </c>
      <c r="G332" t="s">
        <v>13</v>
      </c>
      <c r="H332" t="s">
        <v>57</v>
      </c>
      <c r="I332" t="s">
        <v>33</v>
      </c>
      <c r="J332" t="s">
        <v>121</v>
      </c>
      <c r="K332" t="s">
        <v>108</v>
      </c>
      <c r="L332" s="5">
        <v>45844</v>
      </c>
      <c r="M332" s="7">
        <v>0.60069444444444442</v>
      </c>
      <c r="N332" s="7">
        <v>0.71527777777777779</v>
      </c>
      <c r="O332" t="s">
        <v>122</v>
      </c>
      <c r="P332" t="s">
        <v>93</v>
      </c>
      <c r="Q332">
        <v>125</v>
      </c>
      <c r="R332">
        <v>12</v>
      </c>
      <c r="S332" t="s">
        <v>94</v>
      </c>
      <c r="T332">
        <v>0</v>
      </c>
      <c r="U332" t="s">
        <v>102</v>
      </c>
      <c r="V332" t="s">
        <v>103</v>
      </c>
      <c r="W332">
        <v>1800</v>
      </c>
    </row>
    <row r="333" spans="1:23" x14ac:dyDescent="0.35">
      <c r="A333" t="s">
        <v>550</v>
      </c>
      <c r="B333" t="s">
        <v>59</v>
      </c>
      <c r="C333">
        <v>30</v>
      </c>
      <c r="D333" t="s">
        <v>18</v>
      </c>
      <c r="E333" t="s">
        <v>19</v>
      </c>
      <c r="F333" t="s">
        <v>60</v>
      </c>
      <c r="G333" t="s">
        <v>13</v>
      </c>
      <c r="H333" t="s">
        <v>15</v>
      </c>
      <c r="I333" t="s">
        <v>14</v>
      </c>
      <c r="J333" t="s">
        <v>91</v>
      </c>
      <c r="K333" t="s">
        <v>90</v>
      </c>
      <c r="L333" s="5">
        <v>45844</v>
      </c>
      <c r="M333" s="7">
        <v>0.40277777777777779</v>
      </c>
      <c r="N333" s="7">
        <v>0.51736111111111116</v>
      </c>
      <c r="O333" t="s">
        <v>123</v>
      </c>
      <c r="P333" t="s">
        <v>118</v>
      </c>
      <c r="Q333">
        <v>310</v>
      </c>
      <c r="R333">
        <v>20.5</v>
      </c>
      <c r="S333" t="s">
        <v>101</v>
      </c>
      <c r="T333">
        <v>35</v>
      </c>
      <c r="U333" t="s">
        <v>95</v>
      </c>
      <c r="V333" t="s">
        <v>96</v>
      </c>
      <c r="W333">
        <v>6200</v>
      </c>
    </row>
    <row r="334" spans="1:23" x14ac:dyDescent="0.35">
      <c r="A334" t="s">
        <v>551</v>
      </c>
      <c r="B334" t="s">
        <v>62</v>
      </c>
      <c r="C334">
        <v>52</v>
      </c>
      <c r="D334" t="s">
        <v>11</v>
      </c>
      <c r="E334" t="s">
        <v>26</v>
      </c>
      <c r="F334" t="s">
        <v>63</v>
      </c>
      <c r="G334" t="s">
        <v>21</v>
      </c>
      <c r="H334" t="s">
        <v>22</v>
      </c>
      <c r="I334" t="s">
        <v>23</v>
      </c>
      <c r="J334" t="s">
        <v>97</v>
      </c>
      <c r="K334" t="s">
        <v>98</v>
      </c>
      <c r="L334" s="5">
        <v>45845</v>
      </c>
      <c r="M334" s="7">
        <v>0.96875</v>
      </c>
      <c r="N334" s="7">
        <v>0.12152777777777778</v>
      </c>
      <c r="O334" t="s">
        <v>124</v>
      </c>
      <c r="P334" t="s">
        <v>100</v>
      </c>
      <c r="Q334">
        <v>1200</v>
      </c>
      <c r="R334">
        <v>28</v>
      </c>
      <c r="S334" t="s">
        <v>94</v>
      </c>
      <c r="T334">
        <v>0</v>
      </c>
      <c r="U334" t="s">
        <v>107</v>
      </c>
      <c r="V334" t="s">
        <v>125</v>
      </c>
      <c r="W334">
        <v>14000</v>
      </c>
    </row>
    <row r="335" spans="1:23" x14ac:dyDescent="0.35">
      <c r="A335" t="s">
        <v>552</v>
      </c>
      <c r="B335" t="s">
        <v>65</v>
      </c>
      <c r="C335">
        <v>24</v>
      </c>
      <c r="D335" t="s">
        <v>18</v>
      </c>
      <c r="E335" t="s">
        <v>12</v>
      </c>
      <c r="F335" s="3" t="s">
        <v>66</v>
      </c>
      <c r="G335" t="s">
        <v>13</v>
      </c>
      <c r="H335" t="s">
        <v>39</v>
      </c>
      <c r="I335" t="s">
        <v>15</v>
      </c>
      <c r="J335" t="s">
        <v>113</v>
      </c>
      <c r="K335" t="s">
        <v>91</v>
      </c>
      <c r="L335" s="5">
        <v>45845</v>
      </c>
      <c r="M335" s="7">
        <v>0.25694444444444442</v>
      </c>
      <c r="N335" s="7">
        <v>0.3611111111111111</v>
      </c>
      <c r="O335" t="s">
        <v>126</v>
      </c>
      <c r="P335" t="s">
        <v>93</v>
      </c>
      <c r="Q335">
        <v>160</v>
      </c>
      <c r="R335">
        <v>10.4</v>
      </c>
      <c r="S335" t="s">
        <v>111</v>
      </c>
      <c r="T335">
        <v>0</v>
      </c>
      <c r="U335" t="s">
        <v>102</v>
      </c>
      <c r="V335" t="s">
        <v>112</v>
      </c>
      <c r="W335">
        <v>900</v>
      </c>
    </row>
    <row r="336" spans="1:23" x14ac:dyDescent="0.35">
      <c r="A336" t="s">
        <v>553</v>
      </c>
      <c r="B336" t="s">
        <v>68</v>
      </c>
      <c r="C336">
        <v>40</v>
      </c>
      <c r="D336" t="s">
        <v>11</v>
      </c>
      <c r="E336" t="s">
        <v>37</v>
      </c>
      <c r="F336" t="s">
        <v>69</v>
      </c>
      <c r="G336" t="s">
        <v>21</v>
      </c>
      <c r="H336" t="s">
        <v>33</v>
      </c>
      <c r="I336" t="s">
        <v>34</v>
      </c>
      <c r="J336" t="s">
        <v>108</v>
      </c>
      <c r="K336" t="s">
        <v>109</v>
      </c>
      <c r="L336" s="5">
        <v>45846</v>
      </c>
      <c r="M336" s="7">
        <v>0.84722222222222221</v>
      </c>
      <c r="N336" s="7">
        <v>9.0277777777777776E-2</v>
      </c>
      <c r="O336" t="s">
        <v>127</v>
      </c>
      <c r="P336" t="s">
        <v>100</v>
      </c>
      <c r="Q336">
        <v>1340</v>
      </c>
      <c r="R336">
        <v>22.6</v>
      </c>
      <c r="S336" t="s">
        <v>94</v>
      </c>
      <c r="T336">
        <v>0</v>
      </c>
      <c r="U336" t="s">
        <v>95</v>
      </c>
      <c r="V336" t="s">
        <v>103</v>
      </c>
      <c r="W336">
        <v>8700</v>
      </c>
    </row>
    <row r="337" spans="1:23" x14ac:dyDescent="0.35">
      <c r="A337" t="s">
        <v>554</v>
      </c>
      <c r="B337" t="s">
        <v>71</v>
      </c>
      <c r="C337">
        <v>33</v>
      </c>
      <c r="D337" t="s">
        <v>18</v>
      </c>
      <c r="E337" t="s">
        <v>43</v>
      </c>
      <c r="F337" t="s">
        <v>72</v>
      </c>
      <c r="G337" t="s">
        <v>21</v>
      </c>
      <c r="H337" t="s">
        <v>15</v>
      </c>
      <c r="I337" t="s">
        <v>40</v>
      </c>
      <c r="J337" t="s">
        <v>91</v>
      </c>
      <c r="K337" t="s">
        <v>114</v>
      </c>
      <c r="L337" s="5">
        <v>45846</v>
      </c>
      <c r="M337" s="7">
        <v>0.11805555555555555</v>
      </c>
      <c r="N337" s="7">
        <v>0.64583333333333337</v>
      </c>
      <c r="O337" t="s">
        <v>128</v>
      </c>
      <c r="P337" t="s">
        <v>106</v>
      </c>
      <c r="Q337">
        <v>2600</v>
      </c>
      <c r="R337">
        <v>31.4</v>
      </c>
      <c r="S337" t="s">
        <v>101</v>
      </c>
      <c r="T337">
        <v>90</v>
      </c>
      <c r="U337" t="s">
        <v>107</v>
      </c>
      <c r="V337" t="s">
        <v>96</v>
      </c>
      <c r="W337">
        <v>15000</v>
      </c>
    </row>
    <row r="338" spans="1:23" x14ac:dyDescent="0.35">
      <c r="A338" t="s">
        <v>555</v>
      </c>
      <c r="B338" t="s">
        <v>74</v>
      </c>
      <c r="C338">
        <v>47</v>
      </c>
      <c r="D338" t="s">
        <v>11</v>
      </c>
      <c r="E338" t="s">
        <v>19</v>
      </c>
      <c r="F338" t="s">
        <v>75</v>
      </c>
      <c r="G338" t="s">
        <v>21</v>
      </c>
      <c r="H338" t="s">
        <v>14</v>
      </c>
      <c r="I338" t="s">
        <v>23</v>
      </c>
      <c r="J338" t="s">
        <v>90</v>
      </c>
      <c r="K338" t="s">
        <v>98</v>
      </c>
      <c r="L338" s="5">
        <v>45847</v>
      </c>
      <c r="M338" s="7">
        <v>0.54513888888888884</v>
      </c>
      <c r="N338" s="7">
        <v>0.71875</v>
      </c>
      <c r="O338" t="s">
        <v>129</v>
      </c>
      <c r="P338" t="s">
        <v>93</v>
      </c>
      <c r="Q338">
        <v>390</v>
      </c>
      <c r="R338">
        <v>16.100000000000001</v>
      </c>
      <c r="S338" t="s">
        <v>94</v>
      </c>
      <c r="T338">
        <v>0</v>
      </c>
      <c r="U338" t="s">
        <v>95</v>
      </c>
      <c r="V338" t="s">
        <v>103</v>
      </c>
      <c r="W338">
        <v>3000</v>
      </c>
    </row>
    <row r="339" spans="1:23" x14ac:dyDescent="0.35">
      <c r="A339" t="s">
        <v>556</v>
      </c>
      <c r="B339" t="s">
        <v>131</v>
      </c>
      <c r="C339">
        <v>28</v>
      </c>
      <c r="D339" t="s">
        <v>18</v>
      </c>
      <c r="E339" t="s">
        <v>52</v>
      </c>
      <c r="F339" t="s">
        <v>132</v>
      </c>
      <c r="G339" t="s">
        <v>21</v>
      </c>
      <c r="H339" t="s">
        <v>33</v>
      </c>
      <c r="I339" t="s">
        <v>28</v>
      </c>
      <c r="J339" t="s">
        <v>108</v>
      </c>
      <c r="K339" t="s">
        <v>104</v>
      </c>
      <c r="L339" s="5">
        <v>45847</v>
      </c>
      <c r="M339" s="7">
        <v>0.32291666666666669</v>
      </c>
      <c r="N339" s="7">
        <v>0.75694444444444442</v>
      </c>
      <c r="O339" t="s">
        <v>133</v>
      </c>
      <c r="P339" t="s">
        <v>118</v>
      </c>
      <c r="Q339">
        <v>980</v>
      </c>
      <c r="R339">
        <v>21</v>
      </c>
      <c r="S339" t="s">
        <v>111</v>
      </c>
      <c r="T339">
        <v>0</v>
      </c>
      <c r="U339" t="s">
        <v>102</v>
      </c>
      <c r="V339" t="s">
        <v>96</v>
      </c>
      <c r="W339">
        <v>7200</v>
      </c>
    </row>
    <row r="340" spans="1:23" x14ac:dyDescent="0.35">
      <c r="A340" t="s">
        <v>557</v>
      </c>
      <c r="B340" t="s">
        <v>135</v>
      </c>
      <c r="C340">
        <v>39</v>
      </c>
      <c r="D340" t="s">
        <v>11</v>
      </c>
      <c r="E340" t="s">
        <v>12</v>
      </c>
      <c r="F340" s="3" t="s">
        <v>136</v>
      </c>
      <c r="G340" t="s">
        <v>13</v>
      </c>
      <c r="H340" t="s">
        <v>15</v>
      </c>
      <c r="I340" t="s">
        <v>22</v>
      </c>
      <c r="J340" t="s">
        <v>91</v>
      </c>
      <c r="K340" t="s">
        <v>97</v>
      </c>
      <c r="L340" s="5">
        <v>45848</v>
      </c>
      <c r="M340" s="7">
        <v>0.47916666666666669</v>
      </c>
      <c r="N340" s="7">
        <v>0.56944444444444442</v>
      </c>
      <c r="O340" t="s">
        <v>137</v>
      </c>
      <c r="P340" t="s">
        <v>93</v>
      </c>
      <c r="Q340">
        <v>110</v>
      </c>
      <c r="R340">
        <v>8.6</v>
      </c>
      <c r="S340" t="s">
        <v>94</v>
      </c>
      <c r="T340">
        <v>0</v>
      </c>
      <c r="U340" t="s">
        <v>95</v>
      </c>
      <c r="V340" t="s">
        <v>103</v>
      </c>
      <c r="W340">
        <v>1500</v>
      </c>
    </row>
    <row r="341" spans="1:23" x14ac:dyDescent="0.35">
      <c r="A341" t="s">
        <v>558</v>
      </c>
      <c r="B341" t="s">
        <v>139</v>
      </c>
      <c r="C341">
        <v>26</v>
      </c>
      <c r="D341" t="s">
        <v>18</v>
      </c>
      <c r="E341" t="s">
        <v>19</v>
      </c>
      <c r="F341" t="s">
        <v>140</v>
      </c>
      <c r="G341" t="s">
        <v>13</v>
      </c>
      <c r="H341" t="s">
        <v>57</v>
      </c>
      <c r="I341" t="s">
        <v>39</v>
      </c>
      <c r="J341" t="s">
        <v>121</v>
      </c>
      <c r="K341" t="s">
        <v>113</v>
      </c>
      <c r="L341" s="5">
        <v>45848</v>
      </c>
      <c r="M341" s="7">
        <v>0.66666666666666663</v>
      </c>
      <c r="N341" s="7">
        <v>0.76736111111111116</v>
      </c>
      <c r="O341" t="s">
        <v>141</v>
      </c>
      <c r="P341" t="s">
        <v>93</v>
      </c>
      <c r="Q341">
        <v>140</v>
      </c>
      <c r="R341">
        <v>11.2</v>
      </c>
      <c r="S341" t="s">
        <v>101</v>
      </c>
      <c r="T341">
        <v>20</v>
      </c>
      <c r="U341" t="s">
        <v>95</v>
      </c>
      <c r="V341" t="s">
        <v>96</v>
      </c>
      <c r="W341">
        <v>2700</v>
      </c>
    </row>
    <row r="342" spans="1:23" x14ac:dyDescent="0.35">
      <c r="A342" t="s">
        <v>559</v>
      </c>
      <c r="B342" t="s">
        <v>143</v>
      </c>
      <c r="C342">
        <v>50</v>
      </c>
      <c r="D342" t="s">
        <v>11</v>
      </c>
      <c r="E342" t="s">
        <v>26</v>
      </c>
      <c r="F342" t="s">
        <v>144</v>
      </c>
      <c r="G342" t="s">
        <v>21</v>
      </c>
      <c r="H342" t="s">
        <v>14</v>
      </c>
      <c r="I342" t="s">
        <v>34</v>
      </c>
      <c r="J342" t="s">
        <v>90</v>
      </c>
      <c r="K342" t="s">
        <v>109</v>
      </c>
      <c r="L342" s="5">
        <v>45849</v>
      </c>
      <c r="M342" s="7">
        <v>0.88194444444444442</v>
      </c>
      <c r="N342" s="7">
        <v>0.2013888888888889</v>
      </c>
      <c r="O342" t="s">
        <v>145</v>
      </c>
      <c r="P342" t="s">
        <v>100</v>
      </c>
      <c r="Q342">
        <v>1450</v>
      </c>
      <c r="R342">
        <v>25.9</v>
      </c>
      <c r="S342" t="s">
        <v>94</v>
      </c>
      <c r="T342">
        <v>0</v>
      </c>
      <c r="U342" t="s">
        <v>107</v>
      </c>
      <c r="V342" t="s">
        <v>125</v>
      </c>
      <c r="W342">
        <v>11800</v>
      </c>
    </row>
    <row r="343" spans="1:23" x14ac:dyDescent="0.35">
      <c r="A343" t="s">
        <v>560</v>
      </c>
      <c r="B343" t="s">
        <v>222</v>
      </c>
      <c r="C343">
        <v>31</v>
      </c>
      <c r="D343" t="s">
        <v>18</v>
      </c>
      <c r="E343" t="s">
        <v>31</v>
      </c>
      <c r="F343" t="s">
        <v>148</v>
      </c>
      <c r="G343" t="s">
        <v>21</v>
      </c>
      <c r="H343" t="s">
        <v>15</v>
      </c>
      <c r="I343" t="s">
        <v>23</v>
      </c>
      <c r="J343" t="s">
        <v>91</v>
      </c>
      <c r="K343" t="s">
        <v>98</v>
      </c>
      <c r="L343" s="5">
        <v>45849</v>
      </c>
      <c r="M343" s="7">
        <v>0.18402777777777779</v>
      </c>
      <c r="N343" s="7">
        <v>0.33333333333333331</v>
      </c>
      <c r="O343" t="s">
        <v>149</v>
      </c>
      <c r="P343" t="s">
        <v>93</v>
      </c>
      <c r="Q343">
        <v>330</v>
      </c>
      <c r="R343">
        <v>13.5</v>
      </c>
      <c r="S343" t="s">
        <v>111</v>
      </c>
      <c r="T343">
        <v>0</v>
      </c>
      <c r="U343" t="s">
        <v>102</v>
      </c>
      <c r="V343" t="s">
        <v>112</v>
      </c>
      <c r="W343">
        <v>2100</v>
      </c>
    </row>
    <row r="344" spans="1:23" x14ac:dyDescent="0.35">
      <c r="A344" t="s">
        <v>561</v>
      </c>
      <c r="B344" t="s">
        <v>224</v>
      </c>
      <c r="C344">
        <v>44</v>
      </c>
      <c r="D344" t="s">
        <v>11</v>
      </c>
      <c r="E344" t="s">
        <v>12</v>
      </c>
      <c r="F344" s="3" t="s">
        <v>225</v>
      </c>
      <c r="G344" t="s">
        <v>13</v>
      </c>
      <c r="H344" t="s">
        <v>22</v>
      </c>
      <c r="I344" t="s">
        <v>57</v>
      </c>
      <c r="J344" t="s">
        <v>97</v>
      </c>
      <c r="K344" t="s">
        <v>121</v>
      </c>
      <c r="L344" s="5">
        <v>45850</v>
      </c>
      <c r="M344" s="7">
        <v>0.38194444444444442</v>
      </c>
      <c r="N344" s="7">
        <v>0.4861111111111111</v>
      </c>
      <c r="O344" t="s">
        <v>226</v>
      </c>
      <c r="P344" t="s">
        <v>93</v>
      </c>
      <c r="Q344">
        <v>125</v>
      </c>
      <c r="R344">
        <v>12</v>
      </c>
      <c r="S344" t="s">
        <v>94</v>
      </c>
      <c r="T344">
        <v>0</v>
      </c>
      <c r="U344" t="s">
        <v>95</v>
      </c>
      <c r="V344" t="s">
        <v>103</v>
      </c>
      <c r="W344">
        <v>2100</v>
      </c>
    </row>
    <row r="345" spans="1:23" x14ac:dyDescent="0.35">
      <c r="A345" t="s">
        <v>562</v>
      </c>
      <c r="B345" t="s">
        <v>30</v>
      </c>
      <c r="C345">
        <v>25</v>
      </c>
      <c r="D345" t="s">
        <v>18</v>
      </c>
      <c r="E345" t="s">
        <v>19</v>
      </c>
      <c r="F345" t="s">
        <v>20</v>
      </c>
      <c r="G345" t="s">
        <v>21</v>
      </c>
      <c r="H345" t="s">
        <v>15</v>
      </c>
      <c r="I345" t="s">
        <v>28</v>
      </c>
      <c r="J345" t="s">
        <v>91</v>
      </c>
      <c r="K345" t="s">
        <v>104</v>
      </c>
      <c r="L345" s="5">
        <v>45850</v>
      </c>
      <c r="M345" s="7">
        <v>5.2083333333333336E-2</v>
      </c>
      <c r="N345" s="7">
        <v>0.40972222222222221</v>
      </c>
      <c r="O345" t="s">
        <v>99</v>
      </c>
      <c r="P345" t="s">
        <v>100</v>
      </c>
      <c r="Q345">
        <v>860</v>
      </c>
      <c r="R345">
        <v>24</v>
      </c>
      <c r="S345" t="s">
        <v>101</v>
      </c>
      <c r="T345">
        <v>50</v>
      </c>
      <c r="U345" t="s">
        <v>102</v>
      </c>
      <c r="V345" t="s">
        <v>96</v>
      </c>
      <c r="W345">
        <v>8400</v>
      </c>
    </row>
    <row r="346" spans="1:23" x14ac:dyDescent="0.35">
      <c r="A346" t="s">
        <v>563</v>
      </c>
      <c r="B346" t="s">
        <v>197</v>
      </c>
      <c r="C346">
        <v>38</v>
      </c>
      <c r="D346" t="s">
        <v>11</v>
      </c>
      <c r="E346" t="s">
        <v>37</v>
      </c>
      <c r="F346" t="s">
        <v>38</v>
      </c>
      <c r="G346" t="s">
        <v>21</v>
      </c>
      <c r="H346" t="s">
        <v>39</v>
      </c>
      <c r="I346" t="s">
        <v>40</v>
      </c>
      <c r="J346" t="s">
        <v>113</v>
      </c>
      <c r="K346" t="s">
        <v>114</v>
      </c>
      <c r="L346" s="5">
        <v>45851</v>
      </c>
      <c r="M346" s="7">
        <v>0.91666666666666663</v>
      </c>
      <c r="N346" s="7">
        <v>0.57291666666666663</v>
      </c>
      <c r="O346" t="s">
        <v>115</v>
      </c>
      <c r="P346" t="s">
        <v>100</v>
      </c>
      <c r="Q346">
        <v>1980</v>
      </c>
      <c r="R346">
        <v>27.5</v>
      </c>
      <c r="S346" t="s">
        <v>94</v>
      </c>
      <c r="T346">
        <v>0</v>
      </c>
      <c r="U346" t="s">
        <v>102</v>
      </c>
      <c r="V346" t="s">
        <v>103</v>
      </c>
      <c r="W346">
        <v>9700</v>
      </c>
    </row>
    <row r="347" spans="1:23" x14ac:dyDescent="0.35">
      <c r="A347" t="s">
        <v>564</v>
      </c>
      <c r="B347" t="s">
        <v>42</v>
      </c>
      <c r="C347">
        <v>31</v>
      </c>
      <c r="D347" t="s">
        <v>18</v>
      </c>
      <c r="E347" t="s">
        <v>43</v>
      </c>
      <c r="F347" t="s">
        <v>44</v>
      </c>
      <c r="G347" t="s">
        <v>21</v>
      </c>
      <c r="H347" t="s">
        <v>15</v>
      </c>
      <c r="I347" t="s">
        <v>45</v>
      </c>
      <c r="J347" t="s">
        <v>91</v>
      </c>
      <c r="K347" t="s">
        <v>116</v>
      </c>
      <c r="L347" s="5">
        <v>45851</v>
      </c>
      <c r="M347" s="7">
        <v>0.15625</v>
      </c>
      <c r="N347" s="7">
        <v>0.47222222222222221</v>
      </c>
      <c r="O347" t="s">
        <v>117</v>
      </c>
      <c r="P347" t="s">
        <v>118</v>
      </c>
      <c r="Q347">
        <v>980</v>
      </c>
      <c r="R347">
        <v>19.3</v>
      </c>
      <c r="S347" t="s">
        <v>94</v>
      </c>
      <c r="T347">
        <v>0</v>
      </c>
      <c r="U347" t="s">
        <v>95</v>
      </c>
      <c r="V347" t="s">
        <v>96</v>
      </c>
      <c r="W347">
        <v>5400</v>
      </c>
    </row>
    <row r="348" spans="1:23" x14ac:dyDescent="0.35">
      <c r="A348" t="s">
        <v>565</v>
      </c>
      <c r="B348" t="s">
        <v>231</v>
      </c>
      <c r="C348">
        <v>35</v>
      </c>
      <c r="D348" t="s">
        <v>11</v>
      </c>
      <c r="E348" t="s">
        <v>26</v>
      </c>
      <c r="F348" t="s">
        <v>232</v>
      </c>
      <c r="G348" t="s">
        <v>21</v>
      </c>
      <c r="H348" t="s">
        <v>22</v>
      </c>
      <c r="I348" t="s">
        <v>28</v>
      </c>
      <c r="J348" t="s">
        <v>97</v>
      </c>
      <c r="K348" t="s">
        <v>104</v>
      </c>
      <c r="L348" s="5">
        <v>45852</v>
      </c>
      <c r="M348" s="7">
        <v>9.0277777777777776E-2</v>
      </c>
      <c r="N348" s="7">
        <v>0.36805555555555558</v>
      </c>
      <c r="O348" t="s">
        <v>119</v>
      </c>
      <c r="P348" t="s">
        <v>100</v>
      </c>
      <c r="Q348">
        <v>1800</v>
      </c>
      <c r="R348">
        <v>26.5</v>
      </c>
      <c r="S348" t="s">
        <v>94</v>
      </c>
      <c r="T348">
        <v>0</v>
      </c>
      <c r="U348" t="s">
        <v>107</v>
      </c>
      <c r="V348" t="s">
        <v>103</v>
      </c>
      <c r="W348">
        <v>12000</v>
      </c>
    </row>
    <row r="349" spans="1:23" x14ac:dyDescent="0.35">
      <c r="A349" t="s">
        <v>566</v>
      </c>
      <c r="B349" t="s">
        <v>234</v>
      </c>
      <c r="C349">
        <v>28</v>
      </c>
      <c r="D349" t="s">
        <v>18</v>
      </c>
      <c r="E349" t="s">
        <v>12</v>
      </c>
      <c r="F349" s="3" t="s">
        <v>235</v>
      </c>
      <c r="G349" t="s">
        <v>13</v>
      </c>
      <c r="H349" t="s">
        <v>14</v>
      </c>
      <c r="I349" t="s">
        <v>15</v>
      </c>
      <c r="J349" t="s">
        <v>90</v>
      </c>
      <c r="K349" t="s">
        <v>91</v>
      </c>
      <c r="L349" s="5">
        <v>45852</v>
      </c>
      <c r="M349" s="7">
        <v>0.28125</v>
      </c>
      <c r="N349" s="7">
        <v>0.3888888888888889</v>
      </c>
      <c r="O349" t="s">
        <v>236</v>
      </c>
      <c r="P349" t="s">
        <v>93</v>
      </c>
      <c r="Q349">
        <v>150</v>
      </c>
      <c r="R349">
        <v>11.2</v>
      </c>
      <c r="S349" t="s">
        <v>101</v>
      </c>
      <c r="T349">
        <v>30</v>
      </c>
      <c r="U349" t="s">
        <v>102</v>
      </c>
      <c r="V349" t="s">
        <v>96</v>
      </c>
      <c r="W349">
        <v>3200</v>
      </c>
    </row>
    <row r="350" spans="1:23" x14ac:dyDescent="0.35">
      <c r="A350" t="s">
        <v>567</v>
      </c>
      <c r="B350" t="s">
        <v>25</v>
      </c>
      <c r="C350">
        <v>41</v>
      </c>
      <c r="D350" t="s">
        <v>11</v>
      </c>
      <c r="E350" t="s">
        <v>26</v>
      </c>
      <c r="F350" t="s">
        <v>27</v>
      </c>
      <c r="G350" t="s">
        <v>21</v>
      </c>
      <c r="H350" t="s">
        <v>15</v>
      </c>
      <c r="I350" t="s">
        <v>28</v>
      </c>
      <c r="J350" t="s">
        <v>91</v>
      </c>
      <c r="K350" t="s">
        <v>104</v>
      </c>
      <c r="L350" s="5">
        <v>45853</v>
      </c>
      <c r="M350" s="7">
        <v>5.5555555555555552E-2</v>
      </c>
      <c r="N350" s="7">
        <v>0.41319444444444442</v>
      </c>
      <c r="O350" t="s">
        <v>105</v>
      </c>
      <c r="P350" t="s">
        <v>106</v>
      </c>
      <c r="Q350">
        <v>2450</v>
      </c>
      <c r="R350">
        <v>30.2</v>
      </c>
      <c r="S350" t="s">
        <v>94</v>
      </c>
      <c r="T350">
        <v>0</v>
      </c>
      <c r="U350" t="s">
        <v>107</v>
      </c>
      <c r="V350" t="s">
        <v>103</v>
      </c>
      <c r="W350">
        <v>13200</v>
      </c>
    </row>
    <row r="351" spans="1:23" x14ac:dyDescent="0.35">
      <c r="A351" t="s">
        <v>568</v>
      </c>
      <c r="B351" t="s">
        <v>30</v>
      </c>
      <c r="C351">
        <v>25</v>
      </c>
      <c r="D351" t="s">
        <v>18</v>
      </c>
      <c r="E351" t="s">
        <v>31</v>
      </c>
      <c r="F351" t="s">
        <v>32</v>
      </c>
      <c r="G351" t="s">
        <v>21</v>
      </c>
      <c r="H351" t="s">
        <v>33</v>
      </c>
      <c r="I351" t="s">
        <v>34</v>
      </c>
      <c r="J351" t="s">
        <v>108</v>
      </c>
      <c r="K351" t="s">
        <v>109</v>
      </c>
      <c r="L351" s="5">
        <v>45853</v>
      </c>
      <c r="M351" s="7">
        <v>0.34027777777777779</v>
      </c>
      <c r="N351" s="7">
        <v>0.58333333333333337</v>
      </c>
      <c r="O351" t="s">
        <v>110</v>
      </c>
      <c r="P351" t="s">
        <v>93</v>
      </c>
      <c r="Q351">
        <v>420</v>
      </c>
      <c r="R351">
        <v>15.6</v>
      </c>
      <c r="S351" t="s">
        <v>111</v>
      </c>
      <c r="T351">
        <v>0</v>
      </c>
      <c r="U351" t="s">
        <v>95</v>
      </c>
      <c r="V351" t="s">
        <v>112</v>
      </c>
      <c r="W351">
        <v>3500</v>
      </c>
    </row>
    <row r="352" spans="1:23" x14ac:dyDescent="0.35">
      <c r="A352" t="s">
        <v>519</v>
      </c>
      <c r="B352" t="s">
        <v>25</v>
      </c>
      <c r="C352">
        <v>41</v>
      </c>
      <c r="D352" t="s">
        <v>11</v>
      </c>
      <c r="E352" t="s">
        <v>26</v>
      </c>
      <c r="F352" t="s">
        <v>27</v>
      </c>
      <c r="G352" t="s">
        <v>21</v>
      </c>
      <c r="H352" t="s">
        <v>15</v>
      </c>
      <c r="I352" t="s">
        <v>28</v>
      </c>
      <c r="J352" t="s">
        <v>91</v>
      </c>
      <c r="K352" t="s">
        <v>104</v>
      </c>
      <c r="L352" s="5">
        <v>45829</v>
      </c>
      <c r="M352" s="7">
        <v>5.5555555555555552E-2</v>
      </c>
      <c r="N352" s="7">
        <v>0.41319444444444442</v>
      </c>
      <c r="O352" t="s">
        <v>105</v>
      </c>
      <c r="P352" t="s">
        <v>106</v>
      </c>
      <c r="Q352">
        <v>2450</v>
      </c>
      <c r="R352">
        <v>30.2</v>
      </c>
      <c r="S352" t="s">
        <v>94</v>
      </c>
      <c r="T352">
        <v>0</v>
      </c>
      <c r="U352" t="s">
        <v>107</v>
      </c>
      <c r="V352" t="s">
        <v>103</v>
      </c>
      <c r="W352">
        <v>13200</v>
      </c>
    </row>
    <row r="353" spans="1:23" x14ac:dyDescent="0.35">
      <c r="A353" t="s">
        <v>520</v>
      </c>
      <c r="B353" t="s">
        <v>30</v>
      </c>
      <c r="C353">
        <v>25</v>
      </c>
      <c r="D353" t="s">
        <v>18</v>
      </c>
      <c r="E353" t="s">
        <v>31</v>
      </c>
      <c r="F353" t="s">
        <v>32</v>
      </c>
      <c r="G353" t="s">
        <v>21</v>
      </c>
      <c r="H353" t="s">
        <v>33</v>
      </c>
      <c r="I353" t="s">
        <v>34</v>
      </c>
      <c r="J353" t="s">
        <v>108</v>
      </c>
      <c r="K353" t="s">
        <v>109</v>
      </c>
      <c r="L353" s="5">
        <v>45829</v>
      </c>
      <c r="M353" s="7">
        <v>0.34027777777777779</v>
      </c>
      <c r="N353" s="7">
        <v>0.58333333333333337</v>
      </c>
      <c r="O353" t="s">
        <v>110</v>
      </c>
      <c r="P353" t="s">
        <v>93</v>
      </c>
      <c r="Q353">
        <v>420</v>
      </c>
      <c r="R353">
        <v>15.6</v>
      </c>
      <c r="S353" t="s">
        <v>111</v>
      </c>
      <c r="T353">
        <v>0</v>
      </c>
      <c r="U353" t="s">
        <v>95</v>
      </c>
      <c r="V353" t="s">
        <v>112</v>
      </c>
      <c r="W353">
        <v>3500</v>
      </c>
    </row>
    <row r="354" spans="1:23" x14ac:dyDescent="0.35">
      <c r="A354" t="s">
        <v>521</v>
      </c>
      <c r="B354" t="s">
        <v>36</v>
      </c>
      <c r="C354">
        <v>38</v>
      </c>
      <c r="D354" t="s">
        <v>11</v>
      </c>
      <c r="E354" t="s">
        <v>37</v>
      </c>
      <c r="F354" t="s">
        <v>38</v>
      </c>
      <c r="G354" t="s">
        <v>21</v>
      </c>
      <c r="H354" t="s">
        <v>39</v>
      </c>
      <c r="I354" t="s">
        <v>40</v>
      </c>
      <c r="J354" t="s">
        <v>113</v>
      </c>
      <c r="K354" t="s">
        <v>114</v>
      </c>
      <c r="L354" s="5">
        <v>45830</v>
      </c>
      <c r="M354" s="7">
        <v>0.91666666666666663</v>
      </c>
      <c r="N354" s="7">
        <v>0.57291666666666663</v>
      </c>
      <c r="O354" t="s">
        <v>115</v>
      </c>
      <c r="P354" t="s">
        <v>100</v>
      </c>
      <c r="Q354">
        <v>1980</v>
      </c>
      <c r="R354">
        <v>27.5</v>
      </c>
      <c r="S354" t="s">
        <v>94</v>
      </c>
      <c r="T354">
        <v>0</v>
      </c>
      <c r="U354" t="s">
        <v>102</v>
      </c>
      <c r="V354" t="s">
        <v>103</v>
      </c>
      <c r="W354">
        <v>9700</v>
      </c>
    </row>
    <row r="355" spans="1:23" x14ac:dyDescent="0.35">
      <c r="A355" t="s">
        <v>522</v>
      </c>
      <c r="B355" t="s">
        <v>42</v>
      </c>
      <c r="C355">
        <v>31</v>
      </c>
      <c r="D355" t="s">
        <v>18</v>
      </c>
      <c r="E355" t="s">
        <v>43</v>
      </c>
      <c r="F355" t="s">
        <v>44</v>
      </c>
      <c r="G355" t="s">
        <v>21</v>
      </c>
      <c r="H355" t="s">
        <v>15</v>
      </c>
      <c r="I355" t="s">
        <v>45</v>
      </c>
      <c r="J355" t="s">
        <v>91</v>
      </c>
      <c r="K355" t="s">
        <v>116</v>
      </c>
      <c r="L355" s="5">
        <v>45830</v>
      </c>
      <c r="M355" s="7">
        <v>0.15625</v>
      </c>
      <c r="N355" s="7">
        <v>0.47222222222222221</v>
      </c>
      <c r="O355" t="s">
        <v>117</v>
      </c>
      <c r="P355" t="s">
        <v>118</v>
      </c>
      <c r="Q355">
        <v>980</v>
      </c>
      <c r="R355">
        <v>19.3</v>
      </c>
      <c r="S355" t="s">
        <v>101</v>
      </c>
      <c r="T355">
        <v>35</v>
      </c>
      <c r="U355" t="s">
        <v>95</v>
      </c>
      <c r="V355" t="s">
        <v>96</v>
      </c>
      <c r="W355">
        <v>5400</v>
      </c>
    </row>
    <row r="356" spans="1:23" x14ac:dyDescent="0.35">
      <c r="A356" t="s">
        <v>523</v>
      </c>
      <c r="B356" t="s">
        <v>47</v>
      </c>
      <c r="C356">
        <v>45</v>
      </c>
      <c r="D356" t="s">
        <v>11</v>
      </c>
      <c r="E356" t="s">
        <v>48</v>
      </c>
      <c r="F356" t="s">
        <v>49</v>
      </c>
      <c r="G356" t="s">
        <v>21</v>
      </c>
      <c r="H356" t="s">
        <v>14</v>
      </c>
      <c r="I356" t="s">
        <v>28</v>
      </c>
      <c r="J356" t="s">
        <v>90</v>
      </c>
      <c r="K356" t="s">
        <v>104</v>
      </c>
      <c r="L356" s="5">
        <v>45831</v>
      </c>
      <c r="M356" s="7">
        <v>0.42708333333333331</v>
      </c>
      <c r="N356" s="7">
        <v>0.77083333333333337</v>
      </c>
      <c r="O356" t="s">
        <v>119</v>
      </c>
      <c r="P356" t="s">
        <v>100</v>
      </c>
      <c r="Q356">
        <v>1650</v>
      </c>
      <c r="R356">
        <v>26.8</v>
      </c>
      <c r="S356" t="s">
        <v>94</v>
      </c>
      <c r="T356">
        <v>0</v>
      </c>
      <c r="U356" t="s">
        <v>107</v>
      </c>
      <c r="V356" t="s">
        <v>103</v>
      </c>
      <c r="W356">
        <v>11000</v>
      </c>
    </row>
    <row r="357" spans="1:23" x14ac:dyDescent="0.35">
      <c r="A357" t="s">
        <v>524</v>
      </c>
      <c r="B357" t="s">
        <v>51</v>
      </c>
      <c r="C357">
        <v>27</v>
      </c>
      <c r="D357" t="s">
        <v>18</v>
      </c>
      <c r="E357" t="s">
        <v>52</v>
      </c>
      <c r="F357" t="s">
        <v>53</v>
      </c>
      <c r="G357" t="s">
        <v>21</v>
      </c>
      <c r="H357" t="s">
        <v>22</v>
      </c>
      <c r="I357" t="s">
        <v>40</v>
      </c>
      <c r="J357" t="s">
        <v>97</v>
      </c>
      <c r="K357" t="s">
        <v>114</v>
      </c>
      <c r="L357" s="5">
        <v>45831</v>
      </c>
      <c r="M357" s="7">
        <v>0.24305555555555555</v>
      </c>
      <c r="N357" s="7">
        <v>0.72222222222222221</v>
      </c>
      <c r="O357" t="s">
        <v>120</v>
      </c>
      <c r="P357" t="s">
        <v>93</v>
      </c>
      <c r="Q357">
        <v>740</v>
      </c>
      <c r="R357">
        <v>17.2</v>
      </c>
      <c r="S357" t="s">
        <v>111</v>
      </c>
      <c r="T357">
        <v>0</v>
      </c>
      <c r="U357" t="s">
        <v>95</v>
      </c>
      <c r="V357" t="s">
        <v>96</v>
      </c>
      <c r="W357">
        <v>4100</v>
      </c>
    </row>
    <row r="358" spans="1:23" x14ac:dyDescent="0.35">
      <c r="A358" t="s">
        <v>525</v>
      </c>
      <c r="B358" t="s">
        <v>55</v>
      </c>
      <c r="C358">
        <v>36</v>
      </c>
      <c r="D358" t="s">
        <v>11</v>
      </c>
      <c r="E358" t="s">
        <v>12</v>
      </c>
      <c r="F358" s="3" t="s">
        <v>56</v>
      </c>
      <c r="G358" t="s">
        <v>13</v>
      </c>
      <c r="H358" t="s">
        <v>57</v>
      </c>
      <c r="I358" t="s">
        <v>33</v>
      </c>
      <c r="J358" t="s">
        <v>121</v>
      </c>
      <c r="K358" t="s">
        <v>108</v>
      </c>
      <c r="L358" s="5">
        <v>45832</v>
      </c>
      <c r="M358" s="7">
        <v>0.60069444444444442</v>
      </c>
      <c r="N358" s="7">
        <v>0.71527777777777779</v>
      </c>
      <c r="O358" t="s">
        <v>122</v>
      </c>
      <c r="P358" t="s">
        <v>93</v>
      </c>
      <c r="Q358">
        <v>125</v>
      </c>
      <c r="R358">
        <v>12</v>
      </c>
      <c r="S358" t="s">
        <v>94</v>
      </c>
      <c r="T358">
        <v>0</v>
      </c>
      <c r="U358" t="s">
        <v>102</v>
      </c>
      <c r="V358" t="s">
        <v>103</v>
      </c>
      <c r="W358">
        <v>1800</v>
      </c>
    </row>
    <row r="359" spans="1:23" x14ac:dyDescent="0.35">
      <c r="A359" t="s">
        <v>526</v>
      </c>
      <c r="B359" t="s">
        <v>59</v>
      </c>
      <c r="C359">
        <v>30</v>
      </c>
      <c r="D359" t="s">
        <v>18</v>
      </c>
      <c r="E359" t="s">
        <v>19</v>
      </c>
      <c r="F359" t="s">
        <v>60</v>
      </c>
      <c r="G359" t="s">
        <v>13</v>
      </c>
      <c r="H359" t="s">
        <v>15</v>
      </c>
      <c r="I359" t="s">
        <v>14</v>
      </c>
      <c r="J359" t="s">
        <v>91</v>
      </c>
      <c r="K359" t="s">
        <v>90</v>
      </c>
      <c r="L359" s="5">
        <v>45832</v>
      </c>
      <c r="M359" s="7">
        <v>0.40277777777777779</v>
      </c>
      <c r="N359" s="7">
        <v>0.51736111111111116</v>
      </c>
      <c r="O359" t="s">
        <v>123</v>
      </c>
      <c r="P359" t="s">
        <v>118</v>
      </c>
      <c r="Q359">
        <v>310</v>
      </c>
      <c r="R359">
        <v>20.5</v>
      </c>
      <c r="S359" t="s">
        <v>101</v>
      </c>
      <c r="T359">
        <v>35</v>
      </c>
      <c r="U359" t="s">
        <v>95</v>
      </c>
      <c r="V359" t="s">
        <v>96</v>
      </c>
      <c r="W359">
        <v>6200</v>
      </c>
    </row>
    <row r="360" spans="1:23" x14ac:dyDescent="0.35">
      <c r="A360" t="s">
        <v>527</v>
      </c>
      <c r="B360" t="s">
        <v>62</v>
      </c>
      <c r="C360">
        <v>52</v>
      </c>
      <c r="D360" t="s">
        <v>11</v>
      </c>
      <c r="E360" t="s">
        <v>26</v>
      </c>
      <c r="F360" t="s">
        <v>63</v>
      </c>
      <c r="G360" t="s">
        <v>21</v>
      </c>
      <c r="H360" t="s">
        <v>22</v>
      </c>
      <c r="I360" t="s">
        <v>23</v>
      </c>
      <c r="J360" t="s">
        <v>97</v>
      </c>
      <c r="K360" t="s">
        <v>98</v>
      </c>
      <c r="L360" s="5">
        <v>45833</v>
      </c>
      <c r="M360" s="7">
        <v>0.96875</v>
      </c>
      <c r="N360" s="7">
        <v>0.12152777777777778</v>
      </c>
      <c r="O360" t="s">
        <v>124</v>
      </c>
      <c r="P360" t="s">
        <v>100</v>
      </c>
      <c r="Q360">
        <v>1200</v>
      </c>
      <c r="R360">
        <v>28</v>
      </c>
      <c r="S360" t="s">
        <v>94</v>
      </c>
      <c r="T360">
        <v>0</v>
      </c>
      <c r="U360" t="s">
        <v>107</v>
      </c>
      <c r="V360" t="s">
        <v>125</v>
      </c>
      <c r="W360">
        <v>14000</v>
      </c>
    </row>
    <row r="361" spans="1:23" x14ac:dyDescent="0.35">
      <c r="A361" t="s">
        <v>528</v>
      </c>
      <c r="B361" t="s">
        <v>65</v>
      </c>
      <c r="C361">
        <v>24</v>
      </c>
      <c r="D361" t="s">
        <v>18</v>
      </c>
      <c r="E361" t="s">
        <v>12</v>
      </c>
      <c r="F361" s="3" t="s">
        <v>66</v>
      </c>
      <c r="G361" t="s">
        <v>13</v>
      </c>
      <c r="H361" t="s">
        <v>39</v>
      </c>
      <c r="I361" t="s">
        <v>15</v>
      </c>
      <c r="J361" t="s">
        <v>113</v>
      </c>
      <c r="K361" t="s">
        <v>91</v>
      </c>
      <c r="L361" s="5">
        <v>45833</v>
      </c>
      <c r="M361" s="7">
        <v>0.25694444444444442</v>
      </c>
      <c r="N361" s="7">
        <v>0.3611111111111111</v>
      </c>
      <c r="O361" t="s">
        <v>126</v>
      </c>
      <c r="P361" t="s">
        <v>93</v>
      </c>
      <c r="Q361">
        <v>160</v>
      </c>
      <c r="R361">
        <v>10.4</v>
      </c>
      <c r="S361" t="s">
        <v>111</v>
      </c>
      <c r="T361">
        <v>0</v>
      </c>
      <c r="U361" t="s">
        <v>102</v>
      </c>
      <c r="V361" t="s">
        <v>112</v>
      </c>
      <c r="W361">
        <v>900</v>
      </c>
    </row>
    <row r="362" spans="1:23" x14ac:dyDescent="0.35">
      <c r="A362" t="s">
        <v>529</v>
      </c>
      <c r="B362" t="s">
        <v>68</v>
      </c>
      <c r="C362">
        <v>40</v>
      </c>
      <c r="D362" t="s">
        <v>11</v>
      </c>
      <c r="E362" t="s">
        <v>37</v>
      </c>
      <c r="F362" t="s">
        <v>69</v>
      </c>
      <c r="G362" t="s">
        <v>21</v>
      </c>
      <c r="H362" t="s">
        <v>33</v>
      </c>
      <c r="I362" t="s">
        <v>34</v>
      </c>
      <c r="J362" t="s">
        <v>108</v>
      </c>
      <c r="K362" t="s">
        <v>109</v>
      </c>
      <c r="L362" s="5">
        <v>45834</v>
      </c>
      <c r="M362" s="7">
        <v>0.84722222222222221</v>
      </c>
      <c r="N362" s="7">
        <v>9.0277777777777776E-2</v>
      </c>
      <c r="O362" t="s">
        <v>127</v>
      </c>
      <c r="P362" t="s">
        <v>100</v>
      </c>
      <c r="Q362">
        <v>1340</v>
      </c>
      <c r="R362">
        <v>22.6</v>
      </c>
      <c r="S362" t="s">
        <v>94</v>
      </c>
      <c r="T362">
        <v>0</v>
      </c>
      <c r="U362" t="s">
        <v>95</v>
      </c>
      <c r="V362" t="s">
        <v>103</v>
      </c>
      <c r="W362">
        <v>8700</v>
      </c>
    </row>
    <row r="363" spans="1:23" x14ac:dyDescent="0.35">
      <c r="A363" t="s">
        <v>530</v>
      </c>
      <c r="B363" t="s">
        <v>71</v>
      </c>
      <c r="C363">
        <v>33</v>
      </c>
      <c r="D363" t="s">
        <v>18</v>
      </c>
      <c r="E363" t="s">
        <v>43</v>
      </c>
      <c r="F363" t="s">
        <v>72</v>
      </c>
      <c r="G363" t="s">
        <v>21</v>
      </c>
      <c r="H363" t="s">
        <v>15</v>
      </c>
      <c r="I363" t="s">
        <v>40</v>
      </c>
      <c r="J363" t="s">
        <v>91</v>
      </c>
      <c r="K363" t="s">
        <v>114</v>
      </c>
      <c r="L363" s="5">
        <v>45834</v>
      </c>
      <c r="M363" s="7">
        <v>0.11805555555555555</v>
      </c>
      <c r="N363" s="7">
        <v>0.64583333333333337</v>
      </c>
      <c r="O363" t="s">
        <v>128</v>
      </c>
      <c r="P363" t="s">
        <v>106</v>
      </c>
      <c r="Q363">
        <v>2600</v>
      </c>
      <c r="R363">
        <v>31.4</v>
      </c>
      <c r="S363" t="s">
        <v>101</v>
      </c>
      <c r="T363">
        <v>90</v>
      </c>
      <c r="U363" t="s">
        <v>107</v>
      </c>
      <c r="V363" t="s">
        <v>96</v>
      </c>
      <c r="W363">
        <v>15000</v>
      </c>
    </row>
    <row r="364" spans="1:23" x14ac:dyDescent="0.35">
      <c r="A364" t="s">
        <v>531</v>
      </c>
      <c r="B364" t="s">
        <v>74</v>
      </c>
      <c r="C364">
        <v>47</v>
      </c>
      <c r="D364" t="s">
        <v>11</v>
      </c>
      <c r="E364" t="s">
        <v>19</v>
      </c>
      <c r="F364" t="s">
        <v>75</v>
      </c>
      <c r="G364" t="s">
        <v>21</v>
      </c>
      <c r="H364" t="s">
        <v>14</v>
      </c>
      <c r="I364" t="s">
        <v>23</v>
      </c>
      <c r="J364" t="s">
        <v>90</v>
      </c>
      <c r="K364" t="s">
        <v>98</v>
      </c>
      <c r="L364" s="5">
        <v>45835</v>
      </c>
      <c r="M364" s="7">
        <v>0.54513888888888884</v>
      </c>
      <c r="N364" s="7">
        <v>0.71875</v>
      </c>
      <c r="O364" t="s">
        <v>129</v>
      </c>
      <c r="P364" t="s">
        <v>93</v>
      </c>
      <c r="Q364">
        <v>390</v>
      </c>
      <c r="R364">
        <v>16.100000000000001</v>
      </c>
      <c r="S364" t="s">
        <v>94</v>
      </c>
      <c r="T364">
        <v>0</v>
      </c>
      <c r="U364" t="s">
        <v>95</v>
      </c>
      <c r="V364" t="s">
        <v>103</v>
      </c>
      <c r="W364">
        <v>3000</v>
      </c>
    </row>
    <row r="365" spans="1:23" x14ac:dyDescent="0.35">
      <c r="A365" t="s">
        <v>532</v>
      </c>
      <c r="B365" t="s">
        <v>131</v>
      </c>
      <c r="C365">
        <v>28</v>
      </c>
      <c r="D365" t="s">
        <v>18</v>
      </c>
      <c r="E365" t="s">
        <v>52</v>
      </c>
      <c r="F365" t="s">
        <v>132</v>
      </c>
      <c r="G365" t="s">
        <v>21</v>
      </c>
      <c r="H365" t="s">
        <v>33</v>
      </c>
      <c r="I365" t="s">
        <v>28</v>
      </c>
      <c r="J365" t="s">
        <v>108</v>
      </c>
      <c r="K365" t="s">
        <v>104</v>
      </c>
      <c r="L365" s="5">
        <v>45835</v>
      </c>
      <c r="M365" s="7">
        <v>0.32291666666666669</v>
      </c>
      <c r="N365" s="7">
        <v>0.75694444444444442</v>
      </c>
      <c r="O365" t="s">
        <v>133</v>
      </c>
      <c r="P365" t="s">
        <v>118</v>
      </c>
      <c r="Q365">
        <v>980</v>
      </c>
      <c r="R365">
        <v>21</v>
      </c>
      <c r="S365" t="s">
        <v>111</v>
      </c>
      <c r="T365">
        <v>0</v>
      </c>
      <c r="U365" t="s">
        <v>102</v>
      </c>
      <c r="V365" t="s">
        <v>96</v>
      </c>
      <c r="W365">
        <v>7200</v>
      </c>
    </row>
    <row r="366" spans="1:23" x14ac:dyDescent="0.35">
      <c r="A366" t="s">
        <v>533</v>
      </c>
      <c r="B366" t="s">
        <v>135</v>
      </c>
      <c r="C366">
        <v>39</v>
      </c>
      <c r="D366" t="s">
        <v>11</v>
      </c>
      <c r="E366" t="s">
        <v>12</v>
      </c>
      <c r="F366" s="3" t="s">
        <v>136</v>
      </c>
      <c r="G366" t="s">
        <v>13</v>
      </c>
      <c r="H366" t="s">
        <v>15</v>
      </c>
      <c r="I366" t="s">
        <v>22</v>
      </c>
      <c r="J366" t="s">
        <v>91</v>
      </c>
      <c r="K366" t="s">
        <v>97</v>
      </c>
      <c r="L366" s="5">
        <v>45836</v>
      </c>
      <c r="M366" s="7">
        <v>0.47916666666666669</v>
      </c>
      <c r="N366" s="7">
        <v>0.56944444444444442</v>
      </c>
      <c r="O366" t="s">
        <v>137</v>
      </c>
      <c r="P366" t="s">
        <v>93</v>
      </c>
      <c r="Q366">
        <v>110</v>
      </c>
      <c r="R366">
        <v>8.6</v>
      </c>
      <c r="S366" t="s">
        <v>94</v>
      </c>
      <c r="T366">
        <v>0</v>
      </c>
      <c r="U366" t="s">
        <v>95</v>
      </c>
      <c r="V366" t="s">
        <v>103</v>
      </c>
      <c r="W366">
        <v>1500</v>
      </c>
    </row>
    <row r="367" spans="1:23" x14ac:dyDescent="0.35">
      <c r="A367" t="s">
        <v>534</v>
      </c>
      <c r="B367" t="s">
        <v>139</v>
      </c>
      <c r="C367">
        <v>26</v>
      </c>
      <c r="D367" t="s">
        <v>18</v>
      </c>
      <c r="E367" t="s">
        <v>19</v>
      </c>
      <c r="F367" t="s">
        <v>140</v>
      </c>
      <c r="G367" t="s">
        <v>13</v>
      </c>
      <c r="H367" t="s">
        <v>57</v>
      </c>
      <c r="I367" t="s">
        <v>39</v>
      </c>
      <c r="J367" t="s">
        <v>121</v>
      </c>
      <c r="K367" t="s">
        <v>113</v>
      </c>
      <c r="L367" s="5">
        <v>45836</v>
      </c>
      <c r="M367" s="7">
        <v>0.66666666666666663</v>
      </c>
      <c r="N367" s="7">
        <v>0.76736111111111116</v>
      </c>
      <c r="O367" t="s">
        <v>141</v>
      </c>
      <c r="P367" t="s">
        <v>93</v>
      </c>
      <c r="Q367">
        <v>140</v>
      </c>
      <c r="R367">
        <v>11.2</v>
      </c>
      <c r="S367" t="s">
        <v>101</v>
      </c>
      <c r="T367">
        <v>20</v>
      </c>
      <c r="U367" t="s">
        <v>95</v>
      </c>
      <c r="V367" t="s">
        <v>96</v>
      </c>
      <c r="W367">
        <v>2700</v>
      </c>
    </row>
    <row r="368" spans="1:23" x14ac:dyDescent="0.35">
      <c r="A368" t="s">
        <v>535</v>
      </c>
      <c r="B368" t="s">
        <v>143</v>
      </c>
      <c r="C368">
        <v>50</v>
      </c>
      <c r="D368" t="s">
        <v>11</v>
      </c>
      <c r="E368" t="s">
        <v>26</v>
      </c>
      <c r="F368" t="s">
        <v>144</v>
      </c>
      <c r="G368" t="s">
        <v>21</v>
      </c>
      <c r="H368" t="s">
        <v>14</v>
      </c>
      <c r="I368" t="s">
        <v>34</v>
      </c>
      <c r="J368" t="s">
        <v>90</v>
      </c>
      <c r="K368" t="s">
        <v>109</v>
      </c>
      <c r="L368" s="5">
        <v>45837</v>
      </c>
      <c r="M368" s="7">
        <v>0.88194444444444442</v>
      </c>
      <c r="N368" s="7">
        <v>0.2013888888888889</v>
      </c>
      <c r="O368" t="s">
        <v>145</v>
      </c>
      <c r="P368" t="s">
        <v>100</v>
      </c>
      <c r="Q368">
        <v>1450</v>
      </c>
      <c r="R368">
        <v>25.9</v>
      </c>
      <c r="S368" t="s">
        <v>94</v>
      </c>
      <c r="T368">
        <v>0</v>
      </c>
      <c r="U368" t="s">
        <v>107</v>
      </c>
      <c r="V368" t="s">
        <v>125</v>
      </c>
      <c r="W368">
        <v>11800</v>
      </c>
    </row>
    <row r="369" spans="1:23" x14ac:dyDescent="0.35">
      <c r="A369" t="s">
        <v>536</v>
      </c>
      <c r="B369" t="s">
        <v>222</v>
      </c>
      <c r="C369">
        <v>31</v>
      </c>
      <c r="D369" t="s">
        <v>18</v>
      </c>
      <c r="E369" t="s">
        <v>31</v>
      </c>
      <c r="F369" t="s">
        <v>148</v>
      </c>
      <c r="G369" t="s">
        <v>21</v>
      </c>
      <c r="H369" t="s">
        <v>15</v>
      </c>
      <c r="I369" t="s">
        <v>23</v>
      </c>
      <c r="J369" t="s">
        <v>91</v>
      </c>
      <c r="K369" t="s">
        <v>98</v>
      </c>
      <c r="L369" s="5">
        <v>45837</v>
      </c>
      <c r="M369" s="7">
        <v>0.18402777777777779</v>
      </c>
      <c r="N369" s="7">
        <v>0.33333333333333331</v>
      </c>
      <c r="O369" t="s">
        <v>149</v>
      </c>
      <c r="P369" t="s">
        <v>93</v>
      </c>
      <c r="Q369">
        <v>330</v>
      </c>
      <c r="R369">
        <v>13.5</v>
      </c>
      <c r="S369" t="s">
        <v>111</v>
      </c>
      <c r="T369">
        <v>0</v>
      </c>
      <c r="U369" t="s">
        <v>102</v>
      </c>
      <c r="V369" t="s">
        <v>112</v>
      </c>
      <c r="W369">
        <v>2100</v>
      </c>
    </row>
    <row r="370" spans="1:23" x14ac:dyDescent="0.35">
      <c r="A370" t="s">
        <v>537</v>
      </c>
      <c r="B370" t="s">
        <v>224</v>
      </c>
      <c r="C370">
        <v>44</v>
      </c>
      <c r="D370" t="s">
        <v>11</v>
      </c>
      <c r="E370" t="s">
        <v>12</v>
      </c>
      <c r="F370" s="3" t="s">
        <v>225</v>
      </c>
      <c r="G370" t="s">
        <v>13</v>
      </c>
      <c r="H370" t="s">
        <v>22</v>
      </c>
      <c r="I370" t="s">
        <v>57</v>
      </c>
      <c r="J370" t="s">
        <v>97</v>
      </c>
      <c r="K370" t="s">
        <v>121</v>
      </c>
      <c r="L370" s="5">
        <v>45838</v>
      </c>
      <c r="M370" s="7">
        <v>0.38194444444444442</v>
      </c>
      <c r="N370" s="7">
        <v>0.4861111111111111</v>
      </c>
      <c r="O370" t="s">
        <v>226</v>
      </c>
      <c r="P370" t="s">
        <v>93</v>
      </c>
      <c r="Q370">
        <v>125</v>
      </c>
      <c r="R370">
        <v>12</v>
      </c>
      <c r="S370" t="s">
        <v>94</v>
      </c>
      <c r="T370">
        <v>0</v>
      </c>
      <c r="U370" t="s">
        <v>95</v>
      </c>
      <c r="V370" t="s">
        <v>103</v>
      </c>
      <c r="W370">
        <v>2100</v>
      </c>
    </row>
    <row r="371" spans="1:23" x14ac:dyDescent="0.35">
      <c r="A371" t="s">
        <v>538</v>
      </c>
      <c r="B371" t="s">
        <v>30</v>
      </c>
      <c r="C371">
        <v>25</v>
      </c>
      <c r="D371" t="s">
        <v>18</v>
      </c>
      <c r="E371" t="s">
        <v>19</v>
      </c>
      <c r="F371" t="s">
        <v>20</v>
      </c>
      <c r="G371" t="s">
        <v>21</v>
      </c>
      <c r="H371" t="s">
        <v>15</v>
      </c>
      <c r="I371" t="s">
        <v>28</v>
      </c>
      <c r="J371" t="s">
        <v>91</v>
      </c>
      <c r="K371" t="s">
        <v>104</v>
      </c>
      <c r="L371" s="5">
        <v>45838</v>
      </c>
      <c r="M371" s="7">
        <v>5.2083333333333336E-2</v>
      </c>
      <c r="N371" s="7">
        <v>0.40972222222222221</v>
      </c>
      <c r="O371" t="s">
        <v>99</v>
      </c>
      <c r="P371" t="s">
        <v>100</v>
      </c>
      <c r="Q371">
        <v>860</v>
      </c>
      <c r="R371">
        <v>24</v>
      </c>
      <c r="S371" t="s">
        <v>101</v>
      </c>
      <c r="T371">
        <v>50</v>
      </c>
      <c r="U371" t="s">
        <v>102</v>
      </c>
      <c r="V371" t="s">
        <v>96</v>
      </c>
      <c r="W371">
        <v>8400</v>
      </c>
    </row>
    <row r="372" spans="1:23" x14ac:dyDescent="0.35">
      <c r="A372" t="s">
        <v>539</v>
      </c>
      <c r="B372" t="s">
        <v>197</v>
      </c>
      <c r="C372">
        <v>38</v>
      </c>
      <c r="D372" t="s">
        <v>11</v>
      </c>
      <c r="E372" t="s">
        <v>37</v>
      </c>
      <c r="F372" t="s">
        <v>38</v>
      </c>
      <c r="G372" t="s">
        <v>21</v>
      </c>
      <c r="H372" t="s">
        <v>39</v>
      </c>
      <c r="I372" t="s">
        <v>40</v>
      </c>
      <c r="J372" t="s">
        <v>113</v>
      </c>
      <c r="K372" t="s">
        <v>114</v>
      </c>
      <c r="L372" s="5">
        <v>45839</v>
      </c>
      <c r="M372" s="7">
        <v>0.91666666666666663</v>
      </c>
      <c r="N372" s="7">
        <v>0.57291666666666663</v>
      </c>
      <c r="O372" t="s">
        <v>115</v>
      </c>
      <c r="P372" t="s">
        <v>100</v>
      </c>
      <c r="Q372">
        <v>1980</v>
      </c>
      <c r="R372">
        <v>27.5</v>
      </c>
      <c r="S372" t="s">
        <v>94</v>
      </c>
      <c r="T372">
        <v>0</v>
      </c>
      <c r="U372" t="s">
        <v>102</v>
      </c>
      <c r="V372" t="s">
        <v>103</v>
      </c>
      <c r="W372">
        <v>9700</v>
      </c>
    </row>
    <row r="373" spans="1:23" x14ac:dyDescent="0.35">
      <c r="A373" t="s">
        <v>540</v>
      </c>
      <c r="B373" t="s">
        <v>42</v>
      </c>
      <c r="C373">
        <v>31</v>
      </c>
      <c r="D373" t="s">
        <v>18</v>
      </c>
      <c r="E373" t="s">
        <v>43</v>
      </c>
      <c r="F373" t="s">
        <v>44</v>
      </c>
      <c r="G373" t="s">
        <v>21</v>
      </c>
      <c r="H373" t="s">
        <v>15</v>
      </c>
      <c r="I373" t="s">
        <v>45</v>
      </c>
      <c r="J373" t="s">
        <v>91</v>
      </c>
      <c r="K373" t="s">
        <v>116</v>
      </c>
      <c r="L373" s="5">
        <v>45839</v>
      </c>
      <c r="M373" s="7">
        <v>0.15625</v>
      </c>
      <c r="N373" s="7">
        <v>0.47222222222222221</v>
      </c>
      <c r="O373" t="s">
        <v>117</v>
      </c>
      <c r="P373" t="s">
        <v>118</v>
      </c>
      <c r="Q373">
        <v>980</v>
      </c>
      <c r="R373">
        <v>19.3</v>
      </c>
      <c r="S373" t="s">
        <v>94</v>
      </c>
      <c r="T373">
        <v>0</v>
      </c>
      <c r="U373" t="s">
        <v>95</v>
      </c>
      <c r="V373" t="s">
        <v>96</v>
      </c>
      <c r="W373">
        <v>5400</v>
      </c>
    </row>
    <row r="374" spans="1:23" x14ac:dyDescent="0.35">
      <c r="A374" t="s">
        <v>541</v>
      </c>
      <c r="B374" t="s">
        <v>231</v>
      </c>
      <c r="C374">
        <v>35</v>
      </c>
      <c r="D374" t="s">
        <v>11</v>
      </c>
      <c r="E374" t="s">
        <v>26</v>
      </c>
      <c r="F374" t="s">
        <v>232</v>
      </c>
      <c r="G374" t="s">
        <v>21</v>
      </c>
      <c r="H374" t="s">
        <v>22</v>
      </c>
      <c r="I374" t="s">
        <v>28</v>
      </c>
      <c r="J374" t="s">
        <v>97</v>
      </c>
      <c r="K374" t="s">
        <v>104</v>
      </c>
      <c r="L374" s="5">
        <v>45840</v>
      </c>
      <c r="M374" s="7">
        <v>9.0277777777777776E-2</v>
      </c>
      <c r="N374" s="7">
        <v>0.36805555555555558</v>
      </c>
      <c r="O374" t="s">
        <v>119</v>
      </c>
      <c r="P374" t="s">
        <v>100</v>
      </c>
      <c r="Q374">
        <v>1800</v>
      </c>
      <c r="R374">
        <v>26.5</v>
      </c>
      <c r="S374" t="s">
        <v>94</v>
      </c>
      <c r="T374">
        <v>0</v>
      </c>
      <c r="U374" t="s">
        <v>107</v>
      </c>
      <c r="V374" t="s">
        <v>103</v>
      </c>
      <c r="W374">
        <v>12000</v>
      </c>
    </row>
    <row r="375" spans="1:23" x14ac:dyDescent="0.35">
      <c r="A375" t="s">
        <v>542</v>
      </c>
      <c r="B375" t="s">
        <v>234</v>
      </c>
      <c r="C375">
        <v>28</v>
      </c>
      <c r="D375" t="s">
        <v>18</v>
      </c>
      <c r="E375" t="s">
        <v>12</v>
      </c>
      <c r="F375" s="3" t="s">
        <v>235</v>
      </c>
      <c r="G375" t="s">
        <v>13</v>
      </c>
      <c r="H375" t="s">
        <v>14</v>
      </c>
      <c r="I375" t="s">
        <v>15</v>
      </c>
      <c r="J375" t="s">
        <v>90</v>
      </c>
      <c r="K375" t="s">
        <v>91</v>
      </c>
      <c r="L375" s="5">
        <v>45840</v>
      </c>
      <c r="M375" s="7">
        <v>0.28125</v>
      </c>
      <c r="N375" s="7">
        <v>0.3888888888888889</v>
      </c>
      <c r="O375" t="s">
        <v>236</v>
      </c>
      <c r="P375" t="s">
        <v>93</v>
      </c>
      <c r="Q375">
        <v>150</v>
      </c>
      <c r="R375">
        <v>11.2</v>
      </c>
      <c r="S375" t="s">
        <v>101</v>
      </c>
      <c r="T375">
        <v>30</v>
      </c>
      <c r="U375" t="s">
        <v>102</v>
      </c>
      <c r="V375" t="s">
        <v>96</v>
      </c>
      <c r="W375">
        <v>3200</v>
      </c>
    </row>
    <row r="376" spans="1:23" x14ac:dyDescent="0.35">
      <c r="A376" t="s">
        <v>543</v>
      </c>
      <c r="B376" t="s">
        <v>25</v>
      </c>
      <c r="C376">
        <v>41</v>
      </c>
      <c r="D376" t="s">
        <v>11</v>
      </c>
      <c r="E376" t="s">
        <v>26</v>
      </c>
      <c r="F376" t="s">
        <v>27</v>
      </c>
      <c r="G376" t="s">
        <v>21</v>
      </c>
      <c r="H376" t="s">
        <v>15</v>
      </c>
      <c r="I376" t="s">
        <v>28</v>
      </c>
      <c r="J376" t="s">
        <v>91</v>
      </c>
      <c r="K376" t="s">
        <v>104</v>
      </c>
      <c r="L376" s="5">
        <v>45841</v>
      </c>
      <c r="M376" s="7">
        <v>5.5555555555555552E-2</v>
      </c>
      <c r="N376" s="7">
        <v>0.41319444444444442</v>
      </c>
      <c r="O376" t="s">
        <v>105</v>
      </c>
      <c r="P376" t="s">
        <v>106</v>
      </c>
      <c r="Q376">
        <v>2450</v>
      </c>
      <c r="R376">
        <v>30.2</v>
      </c>
      <c r="S376" t="s">
        <v>94</v>
      </c>
      <c r="T376">
        <v>0</v>
      </c>
      <c r="U376" t="s">
        <v>107</v>
      </c>
      <c r="V376" t="s">
        <v>103</v>
      </c>
      <c r="W376">
        <v>13200</v>
      </c>
    </row>
    <row r="377" spans="1:23" x14ac:dyDescent="0.35">
      <c r="A377" t="s">
        <v>544</v>
      </c>
      <c r="B377" t="s">
        <v>30</v>
      </c>
      <c r="C377">
        <v>25</v>
      </c>
      <c r="D377" t="s">
        <v>18</v>
      </c>
      <c r="E377" t="s">
        <v>31</v>
      </c>
      <c r="F377" t="s">
        <v>32</v>
      </c>
      <c r="G377" t="s">
        <v>21</v>
      </c>
      <c r="H377" t="s">
        <v>33</v>
      </c>
      <c r="I377" t="s">
        <v>34</v>
      </c>
      <c r="J377" t="s">
        <v>108</v>
      </c>
      <c r="K377" t="s">
        <v>109</v>
      </c>
      <c r="L377" s="5">
        <v>45841</v>
      </c>
      <c r="M377" s="7">
        <v>0.34027777777777779</v>
      </c>
      <c r="N377" s="7">
        <v>0.58333333333333337</v>
      </c>
      <c r="O377" t="s">
        <v>110</v>
      </c>
      <c r="P377" t="s">
        <v>93</v>
      </c>
      <c r="Q377">
        <v>420</v>
      </c>
      <c r="R377">
        <v>15.6</v>
      </c>
      <c r="S377" t="s">
        <v>111</v>
      </c>
      <c r="T377">
        <v>0</v>
      </c>
      <c r="U377" t="s">
        <v>95</v>
      </c>
      <c r="V377" t="s">
        <v>112</v>
      </c>
      <c r="W377">
        <v>3500</v>
      </c>
    </row>
    <row r="378" spans="1:23" x14ac:dyDescent="0.35">
      <c r="A378" t="s">
        <v>545</v>
      </c>
      <c r="B378" t="s">
        <v>36</v>
      </c>
      <c r="C378">
        <v>38</v>
      </c>
      <c r="D378" t="s">
        <v>11</v>
      </c>
      <c r="E378" t="s">
        <v>37</v>
      </c>
      <c r="F378" t="s">
        <v>38</v>
      </c>
      <c r="G378" t="s">
        <v>21</v>
      </c>
      <c r="H378" t="s">
        <v>39</v>
      </c>
      <c r="I378" t="s">
        <v>40</v>
      </c>
      <c r="J378" t="s">
        <v>113</v>
      </c>
      <c r="K378" t="s">
        <v>114</v>
      </c>
      <c r="L378" s="5">
        <v>45842</v>
      </c>
      <c r="M378" s="7">
        <v>0.91666666666666663</v>
      </c>
      <c r="N378" s="7">
        <v>0.57291666666666663</v>
      </c>
      <c r="O378" t="s">
        <v>115</v>
      </c>
      <c r="P378" t="s">
        <v>100</v>
      </c>
      <c r="Q378">
        <v>1980</v>
      </c>
      <c r="R378">
        <v>27.5</v>
      </c>
      <c r="S378" t="s">
        <v>94</v>
      </c>
      <c r="T378">
        <v>0</v>
      </c>
      <c r="U378" t="s">
        <v>102</v>
      </c>
      <c r="V378" t="s">
        <v>103</v>
      </c>
      <c r="W378">
        <v>9700</v>
      </c>
    </row>
    <row r="379" spans="1:23" x14ac:dyDescent="0.35">
      <c r="A379" t="s">
        <v>546</v>
      </c>
      <c r="B379" t="s">
        <v>42</v>
      </c>
      <c r="C379">
        <v>31</v>
      </c>
      <c r="D379" t="s">
        <v>18</v>
      </c>
      <c r="E379" t="s">
        <v>43</v>
      </c>
      <c r="F379" t="s">
        <v>44</v>
      </c>
      <c r="G379" t="s">
        <v>21</v>
      </c>
      <c r="H379" t="s">
        <v>15</v>
      </c>
      <c r="I379" t="s">
        <v>45</v>
      </c>
      <c r="J379" t="s">
        <v>91</v>
      </c>
      <c r="K379" t="s">
        <v>116</v>
      </c>
      <c r="L379" s="5">
        <v>45842</v>
      </c>
      <c r="M379" s="7">
        <v>0.15625</v>
      </c>
      <c r="N379" s="7">
        <v>0.47222222222222221</v>
      </c>
      <c r="O379" t="s">
        <v>117</v>
      </c>
      <c r="P379" t="s">
        <v>118</v>
      </c>
      <c r="Q379">
        <v>980</v>
      </c>
      <c r="R379">
        <v>19.3</v>
      </c>
      <c r="S379" t="s">
        <v>101</v>
      </c>
      <c r="T379">
        <v>35</v>
      </c>
      <c r="U379" t="s">
        <v>95</v>
      </c>
      <c r="V379" t="s">
        <v>96</v>
      </c>
      <c r="W379">
        <v>5400</v>
      </c>
    </row>
    <row r="380" spans="1:23" x14ac:dyDescent="0.35">
      <c r="A380" t="s">
        <v>547</v>
      </c>
      <c r="B380" t="s">
        <v>47</v>
      </c>
      <c r="C380">
        <v>45</v>
      </c>
      <c r="D380" t="s">
        <v>11</v>
      </c>
      <c r="E380" t="s">
        <v>48</v>
      </c>
      <c r="F380" t="s">
        <v>49</v>
      </c>
      <c r="G380" t="s">
        <v>21</v>
      </c>
      <c r="H380" t="s">
        <v>14</v>
      </c>
      <c r="I380" t="s">
        <v>28</v>
      </c>
      <c r="J380" t="s">
        <v>90</v>
      </c>
      <c r="K380" t="s">
        <v>104</v>
      </c>
      <c r="L380" s="5">
        <v>45843</v>
      </c>
      <c r="M380" s="7">
        <v>0.42708333333333331</v>
      </c>
      <c r="N380" s="7">
        <v>0.77083333333333337</v>
      </c>
      <c r="O380" t="s">
        <v>119</v>
      </c>
      <c r="P380" t="s">
        <v>100</v>
      </c>
      <c r="Q380">
        <v>1650</v>
      </c>
      <c r="R380">
        <v>26.8</v>
      </c>
      <c r="S380" t="s">
        <v>94</v>
      </c>
      <c r="T380">
        <v>0</v>
      </c>
      <c r="U380" t="s">
        <v>107</v>
      </c>
      <c r="V380" t="s">
        <v>103</v>
      </c>
      <c r="W380">
        <v>11000</v>
      </c>
    </row>
    <row r="381" spans="1:23" x14ac:dyDescent="0.35">
      <c r="A381" t="s">
        <v>548</v>
      </c>
      <c r="B381" t="s">
        <v>51</v>
      </c>
      <c r="C381">
        <v>27</v>
      </c>
      <c r="D381" t="s">
        <v>18</v>
      </c>
      <c r="E381" t="s">
        <v>52</v>
      </c>
      <c r="F381" t="s">
        <v>53</v>
      </c>
      <c r="G381" t="s">
        <v>21</v>
      </c>
      <c r="H381" t="s">
        <v>22</v>
      </c>
      <c r="I381" t="s">
        <v>40</v>
      </c>
      <c r="J381" t="s">
        <v>97</v>
      </c>
      <c r="K381" t="s">
        <v>114</v>
      </c>
      <c r="L381" s="5">
        <v>45843</v>
      </c>
      <c r="M381" s="7">
        <v>0.24305555555555555</v>
      </c>
      <c r="N381" s="7">
        <v>0.72222222222222221</v>
      </c>
      <c r="O381" t="s">
        <v>120</v>
      </c>
      <c r="P381" t="s">
        <v>93</v>
      </c>
      <c r="Q381">
        <v>740</v>
      </c>
      <c r="R381">
        <v>17.2</v>
      </c>
      <c r="S381" t="s">
        <v>111</v>
      </c>
      <c r="T381">
        <v>0</v>
      </c>
      <c r="U381" t="s">
        <v>95</v>
      </c>
      <c r="V381" t="s">
        <v>96</v>
      </c>
      <c r="W381">
        <v>4100</v>
      </c>
    </row>
    <row r="382" spans="1:23" x14ac:dyDescent="0.35">
      <c r="A382" t="s">
        <v>549</v>
      </c>
      <c r="B382" t="s">
        <v>55</v>
      </c>
      <c r="C382">
        <v>36</v>
      </c>
      <c r="D382" t="s">
        <v>11</v>
      </c>
      <c r="E382" t="s">
        <v>12</v>
      </c>
      <c r="F382" s="3" t="s">
        <v>56</v>
      </c>
      <c r="G382" t="s">
        <v>13</v>
      </c>
      <c r="H382" t="s">
        <v>57</v>
      </c>
      <c r="I382" t="s">
        <v>33</v>
      </c>
      <c r="J382" t="s">
        <v>121</v>
      </c>
      <c r="K382" t="s">
        <v>108</v>
      </c>
      <c r="L382" s="5">
        <v>45844</v>
      </c>
      <c r="M382" s="7">
        <v>0.60069444444444442</v>
      </c>
      <c r="N382" s="7">
        <v>0.71527777777777779</v>
      </c>
      <c r="O382" t="s">
        <v>122</v>
      </c>
      <c r="P382" t="s">
        <v>93</v>
      </c>
      <c r="Q382">
        <v>125</v>
      </c>
      <c r="R382">
        <v>12</v>
      </c>
      <c r="S382" t="s">
        <v>94</v>
      </c>
      <c r="T382">
        <v>0</v>
      </c>
      <c r="U382" t="s">
        <v>102</v>
      </c>
      <c r="V382" t="s">
        <v>103</v>
      </c>
      <c r="W382">
        <v>1800</v>
      </c>
    </row>
    <row r="383" spans="1:23" x14ac:dyDescent="0.35">
      <c r="A383" t="s">
        <v>550</v>
      </c>
      <c r="B383" t="s">
        <v>59</v>
      </c>
      <c r="C383">
        <v>30</v>
      </c>
      <c r="D383" t="s">
        <v>18</v>
      </c>
      <c r="E383" t="s">
        <v>19</v>
      </c>
      <c r="F383" t="s">
        <v>60</v>
      </c>
      <c r="G383" t="s">
        <v>13</v>
      </c>
      <c r="H383" t="s">
        <v>15</v>
      </c>
      <c r="I383" t="s">
        <v>14</v>
      </c>
      <c r="J383" t="s">
        <v>91</v>
      </c>
      <c r="K383" t="s">
        <v>90</v>
      </c>
      <c r="L383" s="5">
        <v>45844</v>
      </c>
      <c r="M383" s="7">
        <v>0.40277777777777779</v>
      </c>
      <c r="N383" s="7">
        <v>0.51736111111111116</v>
      </c>
      <c r="O383" t="s">
        <v>123</v>
      </c>
      <c r="P383" t="s">
        <v>118</v>
      </c>
      <c r="Q383">
        <v>310</v>
      </c>
      <c r="R383">
        <v>20.5</v>
      </c>
      <c r="S383" t="s">
        <v>101</v>
      </c>
      <c r="T383">
        <v>35</v>
      </c>
      <c r="U383" t="s">
        <v>95</v>
      </c>
      <c r="V383" t="s">
        <v>96</v>
      </c>
      <c r="W383">
        <v>6200</v>
      </c>
    </row>
    <row r="384" spans="1:23" x14ac:dyDescent="0.35">
      <c r="A384" t="s">
        <v>551</v>
      </c>
      <c r="B384" t="s">
        <v>62</v>
      </c>
      <c r="C384">
        <v>52</v>
      </c>
      <c r="D384" t="s">
        <v>11</v>
      </c>
      <c r="E384" t="s">
        <v>26</v>
      </c>
      <c r="F384" t="s">
        <v>63</v>
      </c>
      <c r="G384" t="s">
        <v>21</v>
      </c>
      <c r="H384" t="s">
        <v>22</v>
      </c>
      <c r="I384" t="s">
        <v>23</v>
      </c>
      <c r="J384" t="s">
        <v>97</v>
      </c>
      <c r="K384" t="s">
        <v>98</v>
      </c>
      <c r="L384" s="5">
        <v>45845</v>
      </c>
      <c r="M384" s="7">
        <v>0.96875</v>
      </c>
      <c r="N384" s="7">
        <v>0.12152777777777778</v>
      </c>
      <c r="O384" t="s">
        <v>124</v>
      </c>
      <c r="P384" t="s">
        <v>100</v>
      </c>
      <c r="Q384">
        <v>1200</v>
      </c>
      <c r="R384">
        <v>28</v>
      </c>
      <c r="S384" t="s">
        <v>94</v>
      </c>
      <c r="T384">
        <v>0</v>
      </c>
      <c r="U384" t="s">
        <v>107</v>
      </c>
      <c r="V384" t="s">
        <v>125</v>
      </c>
      <c r="W384">
        <v>14000</v>
      </c>
    </row>
    <row r="385" spans="1:23" x14ac:dyDescent="0.35">
      <c r="A385" t="s">
        <v>552</v>
      </c>
      <c r="B385" t="s">
        <v>65</v>
      </c>
      <c r="C385">
        <v>24</v>
      </c>
      <c r="D385" t="s">
        <v>18</v>
      </c>
      <c r="E385" t="s">
        <v>12</v>
      </c>
      <c r="F385" s="3" t="s">
        <v>66</v>
      </c>
      <c r="G385" t="s">
        <v>13</v>
      </c>
      <c r="H385" t="s">
        <v>39</v>
      </c>
      <c r="I385" t="s">
        <v>15</v>
      </c>
      <c r="J385" t="s">
        <v>113</v>
      </c>
      <c r="K385" t="s">
        <v>91</v>
      </c>
      <c r="L385" s="5">
        <v>45845</v>
      </c>
      <c r="M385" s="7">
        <v>0.25694444444444442</v>
      </c>
      <c r="N385" s="7">
        <v>0.3611111111111111</v>
      </c>
      <c r="O385" t="s">
        <v>126</v>
      </c>
      <c r="P385" t="s">
        <v>93</v>
      </c>
      <c r="Q385">
        <v>160</v>
      </c>
      <c r="R385">
        <v>10.4</v>
      </c>
      <c r="S385" t="s">
        <v>111</v>
      </c>
      <c r="T385">
        <v>0</v>
      </c>
      <c r="U385" t="s">
        <v>102</v>
      </c>
      <c r="V385" t="s">
        <v>112</v>
      </c>
      <c r="W385">
        <v>900</v>
      </c>
    </row>
    <row r="386" spans="1:23" x14ac:dyDescent="0.35">
      <c r="A386" t="s">
        <v>553</v>
      </c>
      <c r="B386" t="s">
        <v>68</v>
      </c>
      <c r="C386">
        <v>40</v>
      </c>
      <c r="D386" t="s">
        <v>11</v>
      </c>
      <c r="E386" t="s">
        <v>37</v>
      </c>
      <c r="F386" t="s">
        <v>69</v>
      </c>
      <c r="G386" t="s">
        <v>21</v>
      </c>
      <c r="H386" t="s">
        <v>33</v>
      </c>
      <c r="I386" t="s">
        <v>34</v>
      </c>
      <c r="J386" t="s">
        <v>108</v>
      </c>
      <c r="K386" t="s">
        <v>109</v>
      </c>
      <c r="L386" s="5">
        <v>45846</v>
      </c>
      <c r="M386" s="7">
        <v>0.84722222222222221</v>
      </c>
      <c r="N386" s="7">
        <v>9.0277777777777776E-2</v>
      </c>
      <c r="O386" t="s">
        <v>127</v>
      </c>
      <c r="P386" t="s">
        <v>100</v>
      </c>
      <c r="Q386">
        <v>1340</v>
      </c>
      <c r="R386">
        <v>22.6</v>
      </c>
      <c r="S386" t="s">
        <v>94</v>
      </c>
      <c r="T386">
        <v>0</v>
      </c>
      <c r="U386" t="s">
        <v>95</v>
      </c>
      <c r="V386" t="s">
        <v>103</v>
      </c>
      <c r="W386">
        <v>8700</v>
      </c>
    </row>
    <row r="387" spans="1:23" x14ac:dyDescent="0.35">
      <c r="A387" t="s">
        <v>554</v>
      </c>
      <c r="B387" t="s">
        <v>71</v>
      </c>
      <c r="C387">
        <v>33</v>
      </c>
      <c r="D387" t="s">
        <v>18</v>
      </c>
      <c r="E387" t="s">
        <v>43</v>
      </c>
      <c r="F387" t="s">
        <v>72</v>
      </c>
      <c r="G387" t="s">
        <v>21</v>
      </c>
      <c r="H387" t="s">
        <v>15</v>
      </c>
      <c r="I387" t="s">
        <v>40</v>
      </c>
      <c r="J387" t="s">
        <v>91</v>
      </c>
      <c r="K387" t="s">
        <v>114</v>
      </c>
      <c r="L387" s="5">
        <v>45846</v>
      </c>
      <c r="M387" s="7">
        <v>0.11805555555555555</v>
      </c>
      <c r="N387" s="7">
        <v>0.64583333333333337</v>
      </c>
      <c r="O387" t="s">
        <v>128</v>
      </c>
      <c r="P387" t="s">
        <v>106</v>
      </c>
      <c r="Q387">
        <v>2600</v>
      </c>
      <c r="R387">
        <v>31.4</v>
      </c>
      <c r="S387" t="s">
        <v>101</v>
      </c>
      <c r="T387">
        <v>90</v>
      </c>
      <c r="U387" t="s">
        <v>107</v>
      </c>
      <c r="V387" t="s">
        <v>96</v>
      </c>
      <c r="W387">
        <v>15000</v>
      </c>
    </row>
    <row r="388" spans="1:23" x14ac:dyDescent="0.35">
      <c r="A388" t="s">
        <v>555</v>
      </c>
      <c r="B388" t="s">
        <v>74</v>
      </c>
      <c r="C388">
        <v>47</v>
      </c>
      <c r="D388" t="s">
        <v>11</v>
      </c>
      <c r="E388" t="s">
        <v>19</v>
      </c>
      <c r="F388" t="s">
        <v>75</v>
      </c>
      <c r="G388" t="s">
        <v>21</v>
      </c>
      <c r="H388" t="s">
        <v>14</v>
      </c>
      <c r="I388" t="s">
        <v>23</v>
      </c>
      <c r="J388" t="s">
        <v>90</v>
      </c>
      <c r="K388" t="s">
        <v>98</v>
      </c>
      <c r="L388" s="5">
        <v>45847</v>
      </c>
      <c r="M388" s="7">
        <v>0.54513888888888884</v>
      </c>
      <c r="N388" s="7">
        <v>0.71875</v>
      </c>
      <c r="O388" t="s">
        <v>129</v>
      </c>
      <c r="P388" t="s">
        <v>93</v>
      </c>
      <c r="Q388">
        <v>390</v>
      </c>
      <c r="R388">
        <v>16.100000000000001</v>
      </c>
      <c r="S388" t="s">
        <v>94</v>
      </c>
      <c r="T388">
        <v>0</v>
      </c>
      <c r="U388" t="s">
        <v>95</v>
      </c>
      <c r="V388" t="s">
        <v>103</v>
      </c>
      <c r="W388">
        <v>3000</v>
      </c>
    </row>
    <row r="389" spans="1:23" x14ac:dyDescent="0.35">
      <c r="A389" t="s">
        <v>556</v>
      </c>
      <c r="B389" t="s">
        <v>131</v>
      </c>
      <c r="C389">
        <v>28</v>
      </c>
      <c r="D389" t="s">
        <v>18</v>
      </c>
      <c r="E389" t="s">
        <v>52</v>
      </c>
      <c r="F389" t="s">
        <v>132</v>
      </c>
      <c r="G389" t="s">
        <v>21</v>
      </c>
      <c r="H389" t="s">
        <v>33</v>
      </c>
      <c r="I389" t="s">
        <v>28</v>
      </c>
      <c r="J389" t="s">
        <v>108</v>
      </c>
      <c r="K389" t="s">
        <v>104</v>
      </c>
      <c r="L389" s="5">
        <v>45847</v>
      </c>
      <c r="M389" s="7">
        <v>0.32291666666666669</v>
      </c>
      <c r="N389" s="7">
        <v>0.75694444444444442</v>
      </c>
      <c r="O389" t="s">
        <v>133</v>
      </c>
      <c r="P389" t="s">
        <v>118</v>
      </c>
      <c r="Q389">
        <v>980</v>
      </c>
      <c r="R389">
        <v>21</v>
      </c>
      <c r="S389" t="s">
        <v>111</v>
      </c>
      <c r="T389">
        <v>0</v>
      </c>
      <c r="U389" t="s">
        <v>102</v>
      </c>
      <c r="V389" t="s">
        <v>96</v>
      </c>
      <c r="W389">
        <v>7200</v>
      </c>
    </row>
    <row r="390" spans="1:23" x14ac:dyDescent="0.35">
      <c r="A390" t="s">
        <v>557</v>
      </c>
      <c r="B390" t="s">
        <v>135</v>
      </c>
      <c r="C390">
        <v>39</v>
      </c>
      <c r="D390" t="s">
        <v>11</v>
      </c>
      <c r="E390" t="s">
        <v>12</v>
      </c>
      <c r="F390" s="3" t="s">
        <v>136</v>
      </c>
      <c r="G390" t="s">
        <v>13</v>
      </c>
      <c r="H390" t="s">
        <v>15</v>
      </c>
      <c r="I390" t="s">
        <v>22</v>
      </c>
      <c r="J390" t="s">
        <v>91</v>
      </c>
      <c r="K390" t="s">
        <v>97</v>
      </c>
      <c r="L390" s="5">
        <v>45848</v>
      </c>
      <c r="M390" s="7">
        <v>0.47916666666666669</v>
      </c>
      <c r="N390" s="7">
        <v>0.56944444444444442</v>
      </c>
      <c r="O390" t="s">
        <v>137</v>
      </c>
      <c r="P390" t="s">
        <v>93</v>
      </c>
      <c r="Q390">
        <v>110</v>
      </c>
      <c r="R390">
        <v>8.6</v>
      </c>
      <c r="S390" t="s">
        <v>94</v>
      </c>
      <c r="T390">
        <v>0</v>
      </c>
      <c r="U390" t="s">
        <v>95</v>
      </c>
      <c r="V390" t="s">
        <v>103</v>
      </c>
      <c r="W390">
        <v>1500</v>
      </c>
    </row>
    <row r="391" spans="1:23" x14ac:dyDescent="0.35">
      <c r="A391" t="s">
        <v>558</v>
      </c>
      <c r="B391" t="s">
        <v>139</v>
      </c>
      <c r="C391">
        <v>26</v>
      </c>
      <c r="D391" t="s">
        <v>18</v>
      </c>
      <c r="E391" t="s">
        <v>19</v>
      </c>
      <c r="F391" t="s">
        <v>140</v>
      </c>
      <c r="G391" t="s">
        <v>13</v>
      </c>
      <c r="H391" t="s">
        <v>57</v>
      </c>
      <c r="I391" t="s">
        <v>39</v>
      </c>
      <c r="J391" t="s">
        <v>121</v>
      </c>
      <c r="K391" t="s">
        <v>113</v>
      </c>
      <c r="L391" s="5">
        <v>45848</v>
      </c>
      <c r="M391" s="7">
        <v>0.66666666666666663</v>
      </c>
      <c r="N391" s="7">
        <v>0.76736111111111116</v>
      </c>
      <c r="O391" t="s">
        <v>141</v>
      </c>
      <c r="P391" t="s">
        <v>93</v>
      </c>
      <c r="Q391">
        <v>140</v>
      </c>
      <c r="R391">
        <v>11.2</v>
      </c>
      <c r="S391" t="s">
        <v>101</v>
      </c>
      <c r="T391">
        <v>20</v>
      </c>
      <c r="U391" t="s">
        <v>95</v>
      </c>
      <c r="V391" t="s">
        <v>96</v>
      </c>
      <c r="W391">
        <v>2700</v>
      </c>
    </row>
    <row r="392" spans="1:23" x14ac:dyDescent="0.35">
      <c r="A392" t="s">
        <v>559</v>
      </c>
      <c r="B392" t="s">
        <v>143</v>
      </c>
      <c r="C392">
        <v>50</v>
      </c>
      <c r="D392" t="s">
        <v>11</v>
      </c>
      <c r="E392" t="s">
        <v>26</v>
      </c>
      <c r="F392" t="s">
        <v>144</v>
      </c>
      <c r="G392" t="s">
        <v>21</v>
      </c>
      <c r="H392" t="s">
        <v>14</v>
      </c>
      <c r="I392" t="s">
        <v>34</v>
      </c>
      <c r="J392" t="s">
        <v>90</v>
      </c>
      <c r="K392" t="s">
        <v>109</v>
      </c>
      <c r="L392" s="5">
        <v>45849</v>
      </c>
      <c r="M392" s="7">
        <v>0.88194444444444442</v>
      </c>
      <c r="N392" s="7">
        <v>0.2013888888888889</v>
      </c>
      <c r="O392" t="s">
        <v>145</v>
      </c>
      <c r="P392" t="s">
        <v>100</v>
      </c>
      <c r="Q392">
        <v>1450</v>
      </c>
      <c r="R392">
        <v>25.9</v>
      </c>
      <c r="S392" t="s">
        <v>94</v>
      </c>
      <c r="T392">
        <v>0</v>
      </c>
      <c r="U392" t="s">
        <v>107</v>
      </c>
      <c r="V392" t="s">
        <v>125</v>
      </c>
      <c r="W392">
        <v>11800</v>
      </c>
    </row>
    <row r="393" spans="1:23" x14ac:dyDescent="0.35">
      <c r="A393" t="s">
        <v>560</v>
      </c>
      <c r="B393" t="s">
        <v>222</v>
      </c>
      <c r="C393">
        <v>31</v>
      </c>
      <c r="D393" t="s">
        <v>18</v>
      </c>
      <c r="E393" t="s">
        <v>31</v>
      </c>
      <c r="F393" t="s">
        <v>148</v>
      </c>
      <c r="G393" t="s">
        <v>21</v>
      </c>
      <c r="H393" t="s">
        <v>15</v>
      </c>
      <c r="I393" t="s">
        <v>23</v>
      </c>
      <c r="J393" t="s">
        <v>91</v>
      </c>
      <c r="K393" t="s">
        <v>98</v>
      </c>
      <c r="L393" s="5">
        <v>45849</v>
      </c>
      <c r="M393" s="7">
        <v>0.18402777777777779</v>
      </c>
      <c r="N393" s="7">
        <v>0.33333333333333331</v>
      </c>
      <c r="O393" t="s">
        <v>149</v>
      </c>
      <c r="P393" t="s">
        <v>93</v>
      </c>
      <c r="Q393">
        <v>330</v>
      </c>
      <c r="R393">
        <v>13.5</v>
      </c>
      <c r="S393" t="s">
        <v>111</v>
      </c>
      <c r="T393">
        <v>0</v>
      </c>
      <c r="U393" t="s">
        <v>102</v>
      </c>
      <c r="V393" t="s">
        <v>112</v>
      </c>
      <c r="W393">
        <v>2100</v>
      </c>
    </row>
    <row r="394" spans="1:23" x14ac:dyDescent="0.35">
      <c r="A394" t="s">
        <v>561</v>
      </c>
      <c r="B394" t="s">
        <v>224</v>
      </c>
      <c r="C394">
        <v>44</v>
      </c>
      <c r="D394" t="s">
        <v>11</v>
      </c>
      <c r="E394" t="s">
        <v>12</v>
      </c>
      <c r="F394" s="3" t="s">
        <v>225</v>
      </c>
      <c r="G394" t="s">
        <v>13</v>
      </c>
      <c r="H394" t="s">
        <v>22</v>
      </c>
      <c r="I394" t="s">
        <v>57</v>
      </c>
      <c r="J394" t="s">
        <v>97</v>
      </c>
      <c r="K394" t="s">
        <v>121</v>
      </c>
      <c r="L394" s="5">
        <v>45850</v>
      </c>
      <c r="M394" s="7">
        <v>0.38194444444444442</v>
      </c>
      <c r="N394" s="7">
        <v>0.4861111111111111</v>
      </c>
      <c r="O394" t="s">
        <v>226</v>
      </c>
      <c r="P394" t="s">
        <v>93</v>
      </c>
      <c r="Q394">
        <v>125</v>
      </c>
      <c r="R394">
        <v>12</v>
      </c>
      <c r="S394" t="s">
        <v>94</v>
      </c>
      <c r="T394">
        <v>0</v>
      </c>
      <c r="U394" t="s">
        <v>95</v>
      </c>
      <c r="V394" t="s">
        <v>103</v>
      </c>
      <c r="W394">
        <v>2100</v>
      </c>
    </row>
    <row r="395" spans="1:23" x14ac:dyDescent="0.35">
      <c r="A395" t="s">
        <v>562</v>
      </c>
      <c r="B395" t="s">
        <v>30</v>
      </c>
      <c r="C395">
        <v>25</v>
      </c>
      <c r="D395" t="s">
        <v>18</v>
      </c>
      <c r="E395" t="s">
        <v>19</v>
      </c>
      <c r="F395" t="s">
        <v>20</v>
      </c>
      <c r="G395" t="s">
        <v>21</v>
      </c>
      <c r="H395" t="s">
        <v>15</v>
      </c>
      <c r="I395" t="s">
        <v>28</v>
      </c>
      <c r="J395" t="s">
        <v>91</v>
      </c>
      <c r="K395" t="s">
        <v>104</v>
      </c>
      <c r="L395" s="5">
        <v>45850</v>
      </c>
      <c r="M395" s="7">
        <v>5.2083333333333336E-2</v>
      </c>
      <c r="N395" s="7">
        <v>0.40972222222222221</v>
      </c>
      <c r="O395" t="s">
        <v>99</v>
      </c>
      <c r="P395" t="s">
        <v>100</v>
      </c>
      <c r="Q395">
        <v>860</v>
      </c>
      <c r="R395">
        <v>24</v>
      </c>
      <c r="S395" t="s">
        <v>101</v>
      </c>
      <c r="T395">
        <v>50</v>
      </c>
      <c r="U395" t="s">
        <v>102</v>
      </c>
      <c r="V395" t="s">
        <v>96</v>
      </c>
      <c r="W395">
        <v>8400</v>
      </c>
    </row>
    <row r="396" spans="1:23" x14ac:dyDescent="0.35">
      <c r="A396" t="s">
        <v>563</v>
      </c>
      <c r="B396" t="s">
        <v>197</v>
      </c>
      <c r="C396">
        <v>38</v>
      </c>
      <c r="D396" t="s">
        <v>11</v>
      </c>
      <c r="E396" t="s">
        <v>37</v>
      </c>
      <c r="F396" t="s">
        <v>38</v>
      </c>
      <c r="G396" t="s">
        <v>21</v>
      </c>
      <c r="H396" t="s">
        <v>39</v>
      </c>
      <c r="I396" t="s">
        <v>40</v>
      </c>
      <c r="J396" t="s">
        <v>113</v>
      </c>
      <c r="K396" t="s">
        <v>114</v>
      </c>
      <c r="L396" s="5">
        <v>45851</v>
      </c>
      <c r="M396" s="7">
        <v>0.91666666666666663</v>
      </c>
      <c r="N396" s="7">
        <v>0.57291666666666663</v>
      </c>
      <c r="O396" t="s">
        <v>115</v>
      </c>
      <c r="P396" t="s">
        <v>100</v>
      </c>
      <c r="Q396">
        <v>1980</v>
      </c>
      <c r="R396">
        <v>27.5</v>
      </c>
      <c r="S396" t="s">
        <v>94</v>
      </c>
      <c r="T396">
        <v>0</v>
      </c>
      <c r="U396" t="s">
        <v>102</v>
      </c>
      <c r="V396" t="s">
        <v>103</v>
      </c>
      <c r="W396">
        <v>9700</v>
      </c>
    </row>
    <row r="397" spans="1:23" x14ac:dyDescent="0.35">
      <c r="A397" t="s">
        <v>564</v>
      </c>
      <c r="B397" t="s">
        <v>42</v>
      </c>
      <c r="C397">
        <v>31</v>
      </c>
      <c r="D397" t="s">
        <v>18</v>
      </c>
      <c r="E397" t="s">
        <v>43</v>
      </c>
      <c r="F397" t="s">
        <v>44</v>
      </c>
      <c r="G397" t="s">
        <v>21</v>
      </c>
      <c r="H397" t="s">
        <v>15</v>
      </c>
      <c r="I397" t="s">
        <v>45</v>
      </c>
      <c r="J397" t="s">
        <v>91</v>
      </c>
      <c r="K397" t="s">
        <v>116</v>
      </c>
      <c r="L397" s="5">
        <v>45851</v>
      </c>
      <c r="M397" s="7">
        <v>0.15625</v>
      </c>
      <c r="N397" s="7">
        <v>0.47222222222222221</v>
      </c>
      <c r="O397" t="s">
        <v>117</v>
      </c>
      <c r="P397" t="s">
        <v>118</v>
      </c>
      <c r="Q397">
        <v>980</v>
      </c>
      <c r="R397">
        <v>19.3</v>
      </c>
      <c r="S397" t="s">
        <v>94</v>
      </c>
      <c r="T397">
        <v>0</v>
      </c>
      <c r="U397" t="s">
        <v>95</v>
      </c>
      <c r="V397" t="s">
        <v>96</v>
      </c>
      <c r="W397">
        <v>5400</v>
      </c>
    </row>
    <row r="398" spans="1:23" x14ac:dyDescent="0.35">
      <c r="A398" t="s">
        <v>565</v>
      </c>
      <c r="B398" t="s">
        <v>231</v>
      </c>
      <c r="C398">
        <v>35</v>
      </c>
      <c r="D398" t="s">
        <v>11</v>
      </c>
      <c r="E398" t="s">
        <v>26</v>
      </c>
      <c r="F398" t="s">
        <v>232</v>
      </c>
      <c r="G398" t="s">
        <v>21</v>
      </c>
      <c r="H398" t="s">
        <v>22</v>
      </c>
      <c r="I398" t="s">
        <v>28</v>
      </c>
      <c r="J398" t="s">
        <v>97</v>
      </c>
      <c r="K398" t="s">
        <v>104</v>
      </c>
      <c r="L398" s="5">
        <v>45852</v>
      </c>
      <c r="M398" s="7">
        <v>9.0277777777777776E-2</v>
      </c>
      <c r="N398" s="7">
        <v>0.36805555555555558</v>
      </c>
      <c r="O398" t="s">
        <v>119</v>
      </c>
      <c r="P398" t="s">
        <v>100</v>
      </c>
      <c r="Q398">
        <v>1800</v>
      </c>
      <c r="R398">
        <v>26.5</v>
      </c>
      <c r="S398" t="s">
        <v>94</v>
      </c>
      <c r="T398">
        <v>0</v>
      </c>
      <c r="U398" t="s">
        <v>107</v>
      </c>
      <c r="V398" t="s">
        <v>103</v>
      </c>
      <c r="W398">
        <v>12000</v>
      </c>
    </row>
    <row r="399" spans="1:23" x14ac:dyDescent="0.35">
      <c r="A399" t="s">
        <v>566</v>
      </c>
      <c r="B399" t="s">
        <v>234</v>
      </c>
      <c r="C399">
        <v>28</v>
      </c>
      <c r="D399" t="s">
        <v>18</v>
      </c>
      <c r="E399" t="s">
        <v>12</v>
      </c>
      <c r="F399" s="3" t="s">
        <v>235</v>
      </c>
      <c r="G399" t="s">
        <v>13</v>
      </c>
      <c r="H399" t="s">
        <v>14</v>
      </c>
      <c r="I399" t="s">
        <v>15</v>
      </c>
      <c r="J399" t="s">
        <v>90</v>
      </c>
      <c r="K399" t="s">
        <v>91</v>
      </c>
      <c r="L399" s="5">
        <v>45852</v>
      </c>
      <c r="M399" s="7">
        <v>0.28125</v>
      </c>
      <c r="N399" s="7">
        <v>0.3888888888888889</v>
      </c>
      <c r="O399" t="s">
        <v>236</v>
      </c>
      <c r="P399" t="s">
        <v>93</v>
      </c>
      <c r="Q399">
        <v>150</v>
      </c>
      <c r="R399">
        <v>11.2</v>
      </c>
      <c r="S399" t="s">
        <v>101</v>
      </c>
      <c r="T399">
        <v>30</v>
      </c>
      <c r="U399" t="s">
        <v>102</v>
      </c>
      <c r="V399" t="s">
        <v>96</v>
      </c>
      <c r="W399">
        <v>3200</v>
      </c>
    </row>
    <row r="400" spans="1:23" x14ac:dyDescent="0.35">
      <c r="A400" t="s">
        <v>567</v>
      </c>
      <c r="B400" t="s">
        <v>25</v>
      </c>
      <c r="C400">
        <v>41</v>
      </c>
      <c r="D400" t="s">
        <v>11</v>
      </c>
      <c r="E400" t="s">
        <v>26</v>
      </c>
      <c r="F400" t="s">
        <v>27</v>
      </c>
      <c r="G400" t="s">
        <v>21</v>
      </c>
      <c r="H400" t="s">
        <v>15</v>
      </c>
      <c r="I400" t="s">
        <v>28</v>
      </c>
      <c r="J400" t="s">
        <v>91</v>
      </c>
      <c r="K400" t="s">
        <v>104</v>
      </c>
      <c r="L400" s="5">
        <v>45853</v>
      </c>
      <c r="M400" s="7">
        <v>5.5555555555555552E-2</v>
      </c>
      <c r="N400" s="7">
        <v>0.41319444444444442</v>
      </c>
      <c r="O400" t="s">
        <v>105</v>
      </c>
      <c r="P400" t="s">
        <v>106</v>
      </c>
      <c r="Q400">
        <v>2450</v>
      </c>
      <c r="R400">
        <v>30.2</v>
      </c>
      <c r="S400" t="s">
        <v>94</v>
      </c>
      <c r="T400">
        <v>0</v>
      </c>
      <c r="U400" t="s">
        <v>107</v>
      </c>
      <c r="V400" t="s">
        <v>103</v>
      </c>
      <c r="W400">
        <v>13200</v>
      </c>
    </row>
    <row r="401" spans="1:23" x14ac:dyDescent="0.35">
      <c r="A401" t="s">
        <v>568</v>
      </c>
      <c r="B401" t="s">
        <v>30</v>
      </c>
      <c r="C401">
        <v>25</v>
      </c>
      <c r="D401" t="s">
        <v>18</v>
      </c>
      <c r="E401" t="s">
        <v>31</v>
      </c>
      <c r="F401" t="s">
        <v>32</v>
      </c>
      <c r="G401" t="s">
        <v>21</v>
      </c>
      <c r="H401" t="s">
        <v>33</v>
      </c>
      <c r="I401" t="s">
        <v>34</v>
      </c>
      <c r="J401" t="s">
        <v>108</v>
      </c>
      <c r="K401" t="s">
        <v>109</v>
      </c>
      <c r="L401" s="5">
        <v>45853</v>
      </c>
      <c r="M401" s="7">
        <v>0.34027777777777779</v>
      </c>
      <c r="N401" s="7">
        <v>0.58333333333333337</v>
      </c>
      <c r="O401" t="s">
        <v>110</v>
      </c>
      <c r="P401" t="s">
        <v>93</v>
      </c>
      <c r="Q401">
        <v>420</v>
      </c>
      <c r="R401">
        <v>15.6</v>
      </c>
      <c r="S401" t="s">
        <v>111</v>
      </c>
      <c r="T401">
        <v>0</v>
      </c>
      <c r="U401" t="s">
        <v>95</v>
      </c>
      <c r="V401" t="s">
        <v>112</v>
      </c>
      <c r="W401">
        <v>3500</v>
      </c>
    </row>
    <row r="402" spans="1:23" x14ac:dyDescent="0.35">
      <c r="A402" t="s">
        <v>569</v>
      </c>
      <c r="B402" t="s">
        <v>36</v>
      </c>
      <c r="C402">
        <v>38</v>
      </c>
      <c r="D402" t="s">
        <v>11</v>
      </c>
      <c r="E402" t="s">
        <v>37</v>
      </c>
      <c r="F402" t="s">
        <v>38</v>
      </c>
      <c r="G402" t="s">
        <v>21</v>
      </c>
      <c r="H402" t="s">
        <v>39</v>
      </c>
      <c r="I402" t="s">
        <v>40</v>
      </c>
      <c r="J402" t="s">
        <v>113</v>
      </c>
      <c r="K402" t="s">
        <v>114</v>
      </c>
      <c r="L402" s="5">
        <v>45854</v>
      </c>
      <c r="M402" s="7">
        <v>0.91666666666666663</v>
      </c>
      <c r="N402" s="7">
        <v>0.57291666666666663</v>
      </c>
      <c r="O402" t="s">
        <v>115</v>
      </c>
      <c r="P402" t="s">
        <v>100</v>
      </c>
      <c r="Q402">
        <v>1980</v>
      </c>
      <c r="R402">
        <v>27.5</v>
      </c>
      <c r="S402" t="s">
        <v>94</v>
      </c>
      <c r="T402">
        <v>0</v>
      </c>
      <c r="U402" t="s">
        <v>102</v>
      </c>
      <c r="V402" t="s">
        <v>103</v>
      </c>
      <c r="W402">
        <v>9700</v>
      </c>
    </row>
    <row r="403" spans="1:23" x14ac:dyDescent="0.35">
      <c r="A403" t="s">
        <v>570</v>
      </c>
      <c r="B403" t="s">
        <v>42</v>
      </c>
      <c r="C403">
        <v>31</v>
      </c>
      <c r="D403" t="s">
        <v>18</v>
      </c>
      <c r="E403" t="s">
        <v>43</v>
      </c>
      <c r="F403" t="s">
        <v>44</v>
      </c>
      <c r="G403" t="s">
        <v>21</v>
      </c>
      <c r="H403" t="s">
        <v>15</v>
      </c>
      <c r="I403" t="s">
        <v>45</v>
      </c>
      <c r="J403" t="s">
        <v>91</v>
      </c>
      <c r="K403" t="s">
        <v>116</v>
      </c>
      <c r="L403" s="5">
        <v>45854</v>
      </c>
      <c r="M403" s="7">
        <v>0.15625</v>
      </c>
      <c r="N403" s="7">
        <v>0.47222222222222221</v>
      </c>
      <c r="O403" t="s">
        <v>117</v>
      </c>
      <c r="P403" t="s">
        <v>118</v>
      </c>
      <c r="Q403">
        <v>980</v>
      </c>
      <c r="R403">
        <v>19.3</v>
      </c>
      <c r="S403" t="s">
        <v>101</v>
      </c>
      <c r="T403">
        <v>35</v>
      </c>
      <c r="U403" t="s">
        <v>95</v>
      </c>
      <c r="V403" t="s">
        <v>96</v>
      </c>
      <c r="W403">
        <v>5400</v>
      </c>
    </row>
    <row r="404" spans="1:23" x14ac:dyDescent="0.35">
      <c r="A404" t="s">
        <v>571</v>
      </c>
      <c r="B404" t="s">
        <v>47</v>
      </c>
      <c r="C404">
        <v>45</v>
      </c>
      <c r="D404" t="s">
        <v>11</v>
      </c>
      <c r="E404" t="s">
        <v>48</v>
      </c>
      <c r="F404" t="s">
        <v>49</v>
      </c>
      <c r="G404" t="s">
        <v>21</v>
      </c>
      <c r="H404" t="s">
        <v>14</v>
      </c>
      <c r="I404" t="s">
        <v>28</v>
      </c>
      <c r="J404" t="s">
        <v>90</v>
      </c>
      <c r="K404" t="s">
        <v>104</v>
      </c>
      <c r="L404" s="5">
        <v>45855</v>
      </c>
      <c r="M404" s="7">
        <v>0.42708333333333331</v>
      </c>
      <c r="N404" s="7">
        <v>0.77083333333333337</v>
      </c>
      <c r="O404" t="s">
        <v>119</v>
      </c>
      <c r="P404" t="s">
        <v>100</v>
      </c>
      <c r="Q404">
        <v>1650</v>
      </c>
      <c r="R404">
        <v>26.8</v>
      </c>
      <c r="S404" t="s">
        <v>94</v>
      </c>
      <c r="T404">
        <v>0</v>
      </c>
      <c r="U404" t="s">
        <v>107</v>
      </c>
      <c r="V404" t="s">
        <v>103</v>
      </c>
      <c r="W404">
        <v>11000</v>
      </c>
    </row>
    <row r="405" spans="1:23" x14ac:dyDescent="0.35">
      <c r="A405" t="s">
        <v>572</v>
      </c>
      <c r="B405" t="s">
        <v>51</v>
      </c>
      <c r="C405">
        <v>27</v>
      </c>
      <c r="D405" t="s">
        <v>18</v>
      </c>
      <c r="E405" t="s">
        <v>52</v>
      </c>
      <c r="F405" t="s">
        <v>53</v>
      </c>
      <c r="G405" t="s">
        <v>21</v>
      </c>
      <c r="H405" t="s">
        <v>22</v>
      </c>
      <c r="I405" t="s">
        <v>40</v>
      </c>
      <c r="J405" t="s">
        <v>97</v>
      </c>
      <c r="K405" t="s">
        <v>114</v>
      </c>
      <c r="L405" s="5">
        <v>45855</v>
      </c>
      <c r="M405" s="7">
        <v>0.24305555555555555</v>
      </c>
      <c r="N405" s="7">
        <v>0.72222222222222221</v>
      </c>
      <c r="O405" t="s">
        <v>120</v>
      </c>
      <c r="P405" t="s">
        <v>93</v>
      </c>
      <c r="Q405">
        <v>740</v>
      </c>
      <c r="R405">
        <v>17.2</v>
      </c>
      <c r="S405" t="s">
        <v>111</v>
      </c>
      <c r="T405">
        <v>0</v>
      </c>
      <c r="U405" t="s">
        <v>95</v>
      </c>
      <c r="V405" t="s">
        <v>96</v>
      </c>
      <c r="W405">
        <v>4100</v>
      </c>
    </row>
    <row r="406" spans="1:23" x14ac:dyDescent="0.35">
      <c r="A406" t="s">
        <v>573</v>
      </c>
      <c r="B406" t="s">
        <v>55</v>
      </c>
      <c r="C406">
        <v>36</v>
      </c>
      <c r="D406" t="s">
        <v>11</v>
      </c>
      <c r="E406" t="s">
        <v>12</v>
      </c>
      <c r="F406" s="3" t="s">
        <v>56</v>
      </c>
      <c r="G406" t="s">
        <v>13</v>
      </c>
      <c r="H406" t="s">
        <v>57</v>
      </c>
      <c r="I406" t="s">
        <v>33</v>
      </c>
      <c r="J406" t="s">
        <v>121</v>
      </c>
      <c r="K406" t="s">
        <v>108</v>
      </c>
      <c r="L406" s="5">
        <v>45856</v>
      </c>
      <c r="M406" s="7">
        <v>0.60069444444444442</v>
      </c>
      <c r="N406" s="7">
        <v>0.71527777777777779</v>
      </c>
      <c r="O406" t="s">
        <v>122</v>
      </c>
      <c r="P406" t="s">
        <v>93</v>
      </c>
      <c r="Q406">
        <v>125</v>
      </c>
      <c r="R406">
        <v>12</v>
      </c>
      <c r="S406" t="s">
        <v>94</v>
      </c>
      <c r="T406">
        <v>0</v>
      </c>
      <c r="U406" t="s">
        <v>102</v>
      </c>
      <c r="V406" t="s">
        <v>103</v>
      </c>
      <c r="W406">
        <v>1800</v>
      </c>
    </row>
    <row r="407" spans="1:23" x14ac:dyDescent="0.35">
      <c r="A407" t="s">
        <v>574</v>
      </c>
      <c r="B407" t="s">
        <v>59</v>
      </c>
      <c r="C407">
        <v>30</v>
      </c>
      <c r="D407" t="s">
        <v>18</v>
      </c>
      <c r="E407" t="s">
        <v>19</v>
      </c>
      <c r="F407" t="s">
        <v>60</v>
      </c>
      <c r="G407" t="s">
        <v>13</v>
      </c>
      <c r="H407" t="s">
        <v>15</v>
      </c>
      <c r="I407" t="s">
        <v>14</v>
      </c>
      <c r="J407" t="s">
        <v>91</v>
      </c>
      <c r="K407" t="s">
        <v>90</v>
      </c>
      <c r="L407" s="5">
        <v>45856</v>
      </c>
      <c r="M407" s="7">
        <v>0.40277777777777779</v>
      </c>
      <c r="N407" s="7">
        <v>0.51736111111111116</v>
      </c>
      <c r="O407" t="s">
        <v>123</v>
      </c>
      <c r="P407" t="s">
        <v>118</v>
      </c>
      <c r="Q407">
        <v>310</v>
      </c>
      <c r="R407">
        <v>20.5</v>
      </c>
      <c r="S407" t="s">
        <v>101</v>
      </c>
      <c r="T407">
        <v>35</v>
      </c>
      <c r="U407" t="s">
        <v>95</v>
      </c>
      <c r="V407" t="s">
        <v>96</v>
      </c>
      <c r="W407">
        <v>6200</v>
      </c>
    </row>
    <row r="408" spans="1:23" x14ac:dyDescent="0.35">
      <c r="A408" t="s">
        <v>575</v>
      </c>
      <c r="B408" t="s">
        <v>62</v>
      </c>
      <c r="C408">
        <v>52</v>
      </c>
      <c r="D408" t="s">
        <v>11</v>
      </c>
      <c r="E408" t="s">
        <v>26</v>
      </c>
      <c r="F408" t="s">
        <v>63</v>
      </c>
      <c r="G408" t="s">
        <v>21</v>
      </c>
      <c r="H408" t="s">
        <v>22</v>
      </c>
      <c r="I408" t="s">
        <v>23</v>
      </c>
      <c r="J408" t="s">
        <v>97</v>
      </c>
      <c r="K408" t="s">
        <v>98</v>
      </c>
      <c r="L408" s="5">
        <v>45857</v>
      </c>
      <c r="M408" s="7">
        <v>0.96875</v>
      </c>
      <c r="N408" s="7">
        <v>0.12152777777777778</v>
      </c>
      <c r="O408" t="s">
        <v>124</v>
      </c>
      <c r="P408" t="s">
        <v>100</v>
      </c>
      <c r="Q408">
        <v>1200</v>
      </c>
      <c r="R408">
        <v>28</v>
      </c>
      <c r="S408" t="s">
        <v>94</v>
      </c>
      <c r="T408">
        <v>0</v>
      </c>
      <c r="U408" t="s">
        <v>107</v>
      </c>
      <c r="V408" t="s">
        <v>125</v>
      </c>
      <c r="W408">
        <v>14000</v>
      </c>
    </row>
    <row r="409" spans="1:23" x14ac:dyDescent="0.35">
      <c r="A409" t="s">
        <v>576</v>
      </c>
      <c r="B409" t="s">
        <v>65</v>
      </c>
      <c r="C409">
        <v>24</v>
      </c>
      <c r="D409" t="s">
        <v>18</v>
      </c>
      <c r="E409" t="s">
        <v>12</v>
      </c>
      <c r="F409" s="3" t="s">
        <v>66</v>
      </c>
      <c r="G409" t="s">
        <v>13</v>
      </c>
      <c r="H409" t="s">
        <v>39</v>
      </c>
      <c r="I409" t="s">
        <v>15</v>
      </c>
      <c r="J409" t="s">
        <v>113</v>
      </c>
      <c r="K409" t="s">
        <v>91</v>
      </c>
      <c r="L409" s="5">
        <v>45857</v>
      </c>
      <c r="M409" s="7">
        <v>0.25694444444444442</v>
      </c>
      <c r="N409" s="7">
        <v>0.3611111111111111</v>
      </c>
      <c r="O409" t="s">
        <v>126</v>
      </c>
      <c r="P409" t="s">
        <v>93</v>
      </c>
      <c r="Q409">
        <v>160</v>
      </c>
      <c r="R409">
        <v>10.4</v>
      </c>
      <c r="S409" t="s">
        <v>111</v>
      </c>
      <c r="T409">
        <v>0</v>
      </c>
      <c r="U409" t="s">
        <v>102</v>
      </c>
      <c r="V409" t="s">
        <v>112</v>
      </c>
      <c r="W409">
        <v>900</v>
      </c>
    </row>
    <row r="410" spans="1:23" x14ac:dyDescent="0.35">
      <c r="A410" t="s">
        <v>577</v>
      </c>
      <c r="B410" t="s">
        <v>68</v>
      </c>
      <c r="C410">
        <v>40</v>
      </c>
      <c r="D410" t="s">
        <v>11</v>
      </c>
      <c r="E410" t="s">
        <v>37</v>
      </c>
      <c r="F410" t="s">
        <v>69</v>
      </c>
      <c r="G410" t="s">
        <v>21</v>
      </c>
      <c r="H410" t="s">
        <v>33</v>
      </c>
      <c r="I410" t="s">
        <v>34</v>
      </c>
      <c r="J410" t="s">
        <v>108</v>
      </c>
      <c r="K410" t="s">
        <v>109</v>
      </c>
      <c r="L410" s="5">
        <v>45858</v>
      </c>
      <c r="M410" s="7">
        <v>0.84722222222222221</v>
      </c>
      <c r="N410" s="7">
        <v>9.0277777777777776E-2</v>
      </c>
      <c r="O410" t="s">
        <v>127</v>
      </c>
      <c r="P410" t="s">
        <v>100</v>
      </c>
      <c r="Q410">
        <v>1340</v>
      </c>
      <c r="R410">
        <v>22.6</v>
      </c>
      <c r="S410" t="s">
        <v>94</v>
      </c>
      <c r="T410">
        <v>0</v>
      </c>
      <c r="U410" t="s">
        <v>95</v>
      </c>
      <c r="V410" t="s">
        <v>103</v>
      </c>
      <c r="W410">
        <v>8700</v>
      </c>
    </row>
    <row r="411" spans="1:23" x14ac:dyDescent="0.35">
      <c r="A411" t="s">
        <v>578</v>
      </c>
      <c r="B411" t="s">
        <v>71</v>
      </c>
      <c r="C411">
        <v>33</v>
      </c>
      <c r="D411" t="s">
        <v>18</v>
      </c>
      <c r="E411" t="s">
        <v>43</v>
      </c>
      <c r="F411" t="s">
        <v>72</v>
      </c>
      <c r="G411" t="s">
        <v>21</v>
      </c>
      <c r="H411" t="s">
        <v>15</v>
      </c>
      <c r="I411" t="s">
        <v>40</v>
      </c>
      <c r="J411" t="s">
        <v>91</v>
      </c>
      <c r="K411" t="s">
        <v>114</v>
      </c>
      <c r="L411" s="5">
        <v>45858</v>
      </c>
      <c r="M411" s="7">
        <v>0.11805555555555555</v>
      </c>
      <c r="N411" s="7">
        <v>0.64583333333333337</v>
      </c>
      <c r="O411" t="s">
        <v>128</v>
      </c>
      <c r="P411" t="s">
        <v>106</v>
      </c>
      <c r="Q411">
        <v>2600</v>
      </c>
      <c r="R411">
        <v>31.4</v>
      </c>
      <c r="S411" t="s">
        <v>101</v>
      </c>
      <c r="T411">
        <v>90</v>
      </c>
      <c r="U411" t="s">
        <v>107</v>
      </c>
      <c r="V411" t="s">
        <v>96</v>
      </c>
      <c r="W411">
        <v>15000</v>
      </c>
    </row>
    <row r="412" spans="1:23" x14ac:dyDescent="0.35">
      <c r="A412" t="s">
        <v>579</v>
      </c>
      <c r="B412" t="s">
        <v>74</v>
      </c>
      <c r="C412">
        <v>47</v>
      </c>
      <c r="D412" t="s">
        <v>11</v>
      </c>
      <c r="E412" t="s">
        <v>19</v>
      </c>
      <c r="F412" t="s">
        <v>75</v>
      </c>
      <c r="G412" t="s">
        <v>21</v>
      </c>
      <c r="H412" t="s">
        <v>14</v>
      </c>
      <c r="I412" t="s">
        <v>23</v>
      </c>
      <c r="J412" t="s">
        <v>90</v>
      </c>
      <c r="K412" t="s">
        <v>98</v>
      </c>
      <c r="L412" s="5">
        <v>45859</v>
      </c>
      <c r="M412" s="7">
        <v>0.54513888888888884</v>
      </c>
      <c r="N412" s="7">
        <v>0.71875</v>
      </c>
      <c r="O412" t="s">
        <v>129</v>
      </c>
      <c r="P412" t="s">
        <v>93</v>
      </c>
      <c r="Q412">
        <v>390</v>
      </c>
      <c r="R412">
        <v>16.100000000000001</v>
      </c>
      <c r="S412" t="s">
        <v>94</v>
      </c>
      <c r="T412">
        <v>0</v>
      </c>
      <c r="U412" t="s">
        <v>95</v>
      </c>
      <c r="V412" t="s">
        <v>103</v>
      </c>
      <c r="W412">
        <v>3000</v>
      </c>
    </row>
    <row r="413" spans="1:23" x14ac:dyDescent="0.35">
      <c r="A413" t="s">
        <v>580</v>
      </c>
      <c r="B413" t="s">
        <v>131</v>
      </c>
      <c r="C413">
        <v>28</v>
      </c>
      <c r="D413" t="s">
        <v>18</v>
      </c>
      <c r="E413" t="s">
        <v>52</v>
      </c>
      <c r="F413" t="s">
        <v>132</v>
      </c>
      <c r="G413" t="s">
        <v>21</v>
      </c>
      <c r="H413" t="s">
        <v>33</v>
      </c>
      <c r="I413" t="s">
        <v>28</v>
      </c>
      <c r="J413" t="s">
        <v>108</v>
      </c>
      <c r="K413" t="s">
        <v>104</v>
      </c>
      <c r="L413" s="5">
        <v>45859</v>
      </c>
      <c r="M413" s="7">
        <v>0.32291666666666669</v>
      </c>
      <c r="N413" s="7">
        <v>0.75694444444444442</v>
      </c>
      <c r="O413" t="s">
        <v>133</v>
      </c>
      <c r="P413" t="s">
        <v>118</v>
      </c>
      <c r="Q413">
        <v>980</v>
      </c>
      <c r="R413">
        <v>21</v>
      </c>
      <c r="S413" t="s">
        <v>111</v>
      </c>
      <c r="T413">
        <v>0</v>
      </c>
      <c r="U413" t="s">
        <v>102</v>
      </c>
      <c r="V413" t="s">
        <v>96</v>
      </c>
      <c r="W413">
        <v>7200</v>
      </c>
    </row>
    <row r="414" spans="1:23" x14ac:dyDescent="0.35">
      <c r="A414" t="s">
        <v>581</v>
      </c>
      <c r="B414" t="s">
        <v>135</v>
      </c>
      <c r="C414">
        <v>39</v>
      </c>
      <c r="D414" t="s">
        <v>11</v>
      </c>
      <c r="E414" t="s">
        <v>12</v>
      </c>
      <c r="F414" s="3" t="s">
        <v>136</v>
      </c>
      <c r="G414" t="s">
        <v>13</v>
      </c>
      <c r="H414" t="s">
        <v>15</v>
      </c>
      <c r="I414" t="s">
        <v>22</v>
      </c>
      <c r="J414" t="s">
        <v>91</v>
      </c>
      <c r="K414" t="s">
        <v>97</v>
      </c>
      <c r="L414" s="5">
        <v>45860</v>
      </c>
      <c r="M414" s="7">
        <v>0.47916666666666669</v>
      </c>
      <c r="N414" s="7">
        <v>0.56944444444444442</v>
      </c>
      <c r="O414" t="s">
        <v>137</v>
      </c>
      <c r="P414" t="s">
        <v>93</v>
      </c>
      <c r="Q414">
        <v>110</v>
      </c>
      <c r="R414">
        <v>8.6</v>
      </c>
      <c r="S414" t="s">
        <v>94</v>
      </c>
      <c r="T414">
        <v>0</v>
      </c>
      <c r="U414" t="s">
        <v>95</v>
      </c>
      <c r="V414" t="s">
        <v>103</v>
      </c>
      <c r="W414">
        <v>1500</v>
      </c>
    </row>
    <row r="415" spans="1:23" x14ac:dyDescent="0.35">
      <c r="A415" t="s">
        <v>582</v>
      </c>
      <c r="B415" t="s">
        <v>139</v>
      </c>
      <c r="C415">
        <v>26</v>
      </c>
      <c r="D415" t="s">
        <v>18</v>
      </c>
      <c r="E415" t="s">
        <v>19</v>
      </c>
      <c r="F415" t="s">
        <v>140</v>
      </c>
      <c r="G415" t="s">
        <v>13</v>
      </c>
      <c r="H415" t="s">
        <v>57</v>
      </c>
      <c r="I415" t="s">
        <v>39</v>
      </c>
      <c r="J415" t="s">
        <v>121</v>
      </c>
      <c r="K415" t="s">
        <v>113</v>
      </c>
      <c r="L415" s="5">
        <v>45860</v>
      </c>
      <c r="M415" s="7">
        <v>0.66666666666666663</v>
      </c>
      <c r="N415" s="7">
        <v>0.76736111111111116</v>
      </c>
      <c r="O415" t="s">
        <v>141</v>
      </c>
      <c r="P415" t="s">
        <v>93</v>
      </c>
      <c r="Q415">
        <v>140</v>
      </c>
      <c r="R415">
        <v>11.2</v>
      </c>
      <c r="S415" t="s">
        <v>101</v>
      </c>
      <c r="T415">
        <v>20</v>
      </c>
      <c r="U415" t="s">
        <v>95</v>
      </c>
      <c r="V415" t="s">
        <v>96</v>
      </c>
      <c r="W415">
        <v>2700</v>
      </c>
    </row>
    <row r="416" spans="1:23" x14ac:dyDescent="0.35">
      <c r="A416" t="s">
        <v>583</v>
      </c>
      <c r="B416" t="s">
        <v>143</v>
      </c>
      <c r="C416">
        <v>50</v>
      </c>
      <c r="D416" t="s">
        <v>11</v>
      </c>
      <c r="E416" t="s">
        <v>26</v>
      </c>
      <c r="F416" t="s">
        <v>144</v>
      </c>
      <c r="G416" t="s">
        <v>21</v>
      </c>
      <c r="H416" t="s">
        <v>14</v>
      </c>
      <c r="I416" t="s">
        <v>34</v>
      </c>
      <c r="J416" t="s">
        <v>90</v>
      </c>
      <c r="K416" t="s">
        <v>109</v>
      </c>
      <c r="L416" s="5">
        <v>45861</v>
      </c>
      <c r="M416" s="7">
        <v>0.88194444444444442</v>
      </c>
      <c r="N416" s="7">
        <v>0.2013888888888889</v>
      </c>
      <c r="O416" t="s">
        <v>145</v>
      </c>
      <c r="P416" t="s">
        <v>100</v>
      </c>
      <c r="Q416">
        <v>1450</v>
      </c>
      <c r="R416">
        <v>25.9</v>
      </c>
      <c r="S416" t="s">
        <v>94</v>
      </c>
      <c r="T416">
        <v>0</v>
      </c>
      <c r="U416" t="s">
        <v>107</v>
      </c>
      <c r="V416" t="s">
        <v>125</v>
      </c>
      <c r="W416">
        <v>11800</v>
      </c>
    </row>
    <row r="417" spans="1:23" x14ac:dyDescent="0.35">
      <c r="A417" t="s">
        <v>584</v>
      </c>
      <c r="B417" t="s">
        <v>222</v>
      </c>
      <c r="C417">
        <v>31</v>
      </c>
      <c r="D417" t="s">
        <v>18</v>
      </c>
      <c r="E417" t="s">
        <v>31</v>
      </c>
      <c r="F417" t="s">
        <v>148</v>
      </c>
      <c r="G417" t="s">
        <v>21</v>
      </c>
      <c r="H417" t="s">
        <v>15</v>
      </c>
      <c r="I417" t="s">
        <v>23</v>
      </c>
      <c r="J417" t="s">
        <v>91</v>
      </c>
      <c r="K417" t="s">
        <v>98</v>
      </c>
      <c r="L417" s="5">
        <v>45861</v>
      </c>
      <c r="M417" s="7">
        <v>0.18402777777777779</v>
      </c>
      <c r="N417" s="7">
        <v>0.33333333333333331</v>
      </c>
      <c r="O417" t="s">
        <v>149</v>
      </c>
      <c r="P417" t="s">
        <v>93</v>
      </c>
      <c r="Q417">
        <v>330</v>
      </c>
      <c r="R417">
        <v>13.5</v>
      </c>
      <c r="S417" t="s">
        <v>111</v>
      </c>
      <c r="T417">
        <v>0</v>
      </c>
      <c r="U417" t="s">
        <v>102</v>
      </c>
      <c r="V417" t="s">
        <v>112</v>
      </c>
      <c r="W417">
        <v>2100</v>
      </c>
    </row>
    <row r="418" spans="1:23" x14ac:dyDescent="0.35">
      <c r="A418" t="s">
        <v>585</v>
      </c>
      <c r="B418" t="s">
        <v>224</v>
      </c>
      <c r="C418">
        <v>44</v>
      </c>
      <c r="D418" t="s">
        <v>11</v>
      </c>
      <c r="E418" t="s">
        <v>12</v>
      </c>
      <c r="F418" s="3" t="s">
        <v>225</v>
      </c>
      <c r="G418" t="s">
        <v>13</v>
      </c>
      <c r="H418" t="s">
        <v>22</v>
      </c>
      <c r="I418" t="s">
        <v>57</v>
      </c>
      <c r="J418" t="s">
        <v>97</v>
      </c>
      <c r="K418" t="s">
        <v>121</v>
      </c>
      <c r="L418" s="5">
        <v>45862</v>
      </c>
      <c r="M418" s="7">
        <v>0.38194444444444442</v>
      </c>
      <c r="N418" s="7">
        <v>0.4861111111111111</v>
      </c>
      <c r="O418" t="s">
        <v>226</v>
      </c>
      <c r="P418" t="s">
        <v>93</v>
      </c>
      <c r="Q418">
        <v>125</v>
      </c>
      <c r="R418">
        <v>12</v>
      </c>
      <c r="S418" t="s">
        <v>94</v>
      </c>
      <c r="T418">
        <v>0</v>
      </c>
      <c r="U418" t="s">
        <v>95</v>
      </c>
      <c r="V418" t="s">
        <v>103</v>
      </c>
      <c r="W418">
        <v>2100</v>
      </c>
    </row>
    <row r="419" spans="1:23" x14ac:dyDescent="0.35">
      <c r="A419" t="s">
        <v>586</v>
      </c>
      <c r="B419" t="s">
        <v>30</v>
      </c>
      <c r="C419">
        <v>25</v>
      </c>
      <c r="D419" t="s">
        <v>18</v>
      </c>
      <c r="E419" t="s">
        <v>19</v>
      </c>
      <c r="F419" t="s">
        <v>20</v>
      </c>
      <c r="G419" t="s">
        <v>21</v>
      </c>
      <c r="H419" t="s">
        <v>15</v>
      </c>
      <c r="I419" t="s">
        <v>28</v>
      </c>
      <c r="J419" t="s">
        <v>91</v>
      </c>
      <c r="K419" t="s">
        <v>104</v>
      </c>
      <c r="L419" s="5">
        <v>45862</v>
      </c>
      <c r="M419" s="7">
        <v>5.2083333333333336E-2</v>
      </c>
      <c r="N419" s="7">
        <v>0.40972222222222221</v>
      </c>
      <c r="O419" t="s">
        <v>99</v>
      </c>
      <c r="P419" t="s">
        <v>100</v>
      </c>
      <c r="Q419">
        <v>860</v>
      </c>
      <c r="R419">
        <v>24</v>
      </c>
      <c r="S419" t="s">
        <v>101</v>
      </c>
      <c r="T419">
        <v>50</v>
      </c>
      <c r="U419" t="s">
        <v>102</v>
      </c>
      <c r="V419" t="s">
        <v>96</v>
      </c>
      <c r="W419">
        <v>8400</v>
      </c>
    </row>
    <row r="420" spans="1:23" x14ac:dyDescent="0.35">
      <c r="A420" t="s">
        <v>587</v>
      </c>
      <c r="B420" t="s">
        <v>197</v>
      </c>
      <c r="C420">
        <v>38</v>
      </c>
      <c r="D420" t="s">
        <v>11</v>
      </c>
      <c r="E420" t="s">
        <v>37</v>
      </c>
      <c r="F420" t="s">
        <v>38</v>
      </c>
      <c r="G420" t="s">
        <v>21</v>
      </c>
      <c r="H420" t="s">
        <v>39</v>
      </c>
      <c r="I420" t="s">
        <v>40</v>
      </c>
      <c r="J420" t="s">
        <v>113</v>
      </c>
      <c r="K420" t="s">
        <v>114</v>
      </c>
      <c r="L420" s="5">
        <v>45863</v>
      </c>
      <c r="M420" s="7">
        <v>0.91666666666666663</v>
      </c>
      <c r="N420" s="7">
        <v>0.57291666666666663</v>
      </c>
      <c r="O420" t="s">
        <v>115</v>
      </c>
      <c r="P420" t="s">
        <v>100</v>
      </c>
      <c r="Q420">
        <v>1980</v>
      </c>
      <c r="R420">
        <v>27.5</v>
      </c>
      <c r="S420" t="s">
        <v>94</v>
      </c>
      <c r="T420">
        <v>0</v>
      </c>
      <c r="U420" t="s">
        <v>102</v>
      </c>
      <c r="V420" t="s">
        <v>103</v>
      </c>
      <c r="W420">
        <v>9700</v>
      </c>
    </row>
    <row r="421" spans="1:23" x14ac:dyDescent="0.35">
      <c r="A421" t="s">
        <v>588</v>
      </c>
      <c r="B421" t="s">
        <v>42</v>
      </c>
      <c r="C421">
        <v>31</v>
      </c>
      <c r="D421" t="s">
        <v>18</v>
      </c>
      <c r="E421" t="s">
        <v>43</v>
      </c>
      <c r="F421" t="s">
        <v>44</v>
      </c>
      <c r="G421" t="s">
        <v>21</v>
      </c>
      <c r="H421" t="s">
        <v>15</v>
      </c>
      <c r="I421" t="s">
        <v>45</v>
      </c>
      <c r="J421" t="s">
        <v>91</v>
      </c>
      <c r="K421" t="s">
        <v>116</v>
      </c>
      <c r="L421" s="5">
        <v>45863</v>
      </c>
      <c r="M421" s="7">
        <v>0.15625</v>
      </c>
      <c r="N421" s="7">
        <v>0.47222222222222221</v>
      </c>
      <c r="O421" t="s">
        <v>117</v>
      </c>
      <c r="P421" t="s">
        <v>118</v>
      </c>
      <c r="Q421">
        <v>980</v>
      </c>
      <c r="R421">
        <v>19.3</v>
      </c>
      <c r="S421" t="s">
        <v>94</v>
      </c>
      <c r="T421">
        <v>0</v>
      </c>
      <c r="U421" t="s">
        <v>95</v>
      </c>
      <c r="V421" t="s">
        <v>96</v>
      </c>
      <c r="W421">
        <v>5400</v>
      </c>
    </row>
    <row r="422" spans="1:23" x14ac:dyDescent="0.35">
      <c r="A422" t="s">
        <v>589</v>
      </c>
      <c r="B422" t="s">
        <v>231</v>
      </c>
      <c r="C422">
        <v>35</v>
      </c>
      <c r="D422" t="s">
        <v>11</v>
      </c>
      <c r="E422" t="s">
        <v>26</v>
      </c>
      <c r="F422" t="s">
        <v>232</v>
      </c>
      <c r="G422" t="s">
        <v>21</v>
      </c>
      <c r="H422" t="s">
        <v>22</v>
      </c>
      <c r="I422" t="s">
        <v>28</v>
      </c>
      <c r="J422" t="s">
        <v>97</v>
      </c>
      <c r="K422" t="s">
        <v>104</v>
      </c>
      <c r="L422" s="5">
        <v>45864</v>
      </c>
      <c r="M422" s="7">
        <v>9.0277777777777776E-2</v>
      </c>
      <c r="N422" s="7">
        <v>0.36805555555555558</v>
      </c>
      <c r="O422" t="s">
        <v>119</v>
      </c>
      <c r="P422" t="s">
        <v>100</v>
      </c>
      <c r="Q422">
        <v>1800</v>
      </c>
      <c r="R422">
        <v>26.5</v>
      </c>
      <c r="S422" t="s">
        <v>94</v>
      </c>
      <c r="T422">
        <v>0</v>
      </c>
      <c r="U422" t="s">
        <v>107</v>
      </c>
      <c r="V422" t="s">
        <v>103</v>
      </c>
      <c r="W422">
        <v>12000</v>
      </c>
    </row>
    <row r="423" spans="1:23" x14ac:dyDescent="0.35">
      <c r="A423" t="s">
        <v>590</v>
      </c>
      <c r="B423" t="s">
        <v>234</v>
      </c>
      <c r="C423">
        <v>28</v>
      </c>
      <c r="D423" t="s">
        <v>18</v>
      </c>
      <c r="E423" t="s">
        <v>12</v>
      </c>
      <c r="F423" s="3" t="s">
        <v>235</v>
      </c>
      <c r="G423" t="s">
        <v>13</v>
      </c>
      <c r="H423" t="s">
        <v>14</v>
      </c>
      <c r="I423" t="s">
        <v>15</v>
      </c>
      <c r="J423" t="s">
        <v>90</v>
      </c>
      <c r="K423" t="s">
        <v>91</v>
      </c>
      <c r="L423" s="5">
        <v>45864</v>
      </c>
      <c r="M423" s="7">
        <v>0.28125</v>
      </c>
      <c r="N423" s="7">
        <v>0.3888888888888889</v>
      </c>
      <c r="O423" t="s">
        <v>236</v>
      </c>
      <c r="P423" t="s">
        <v>93</v>
      </c>
      <c r="Q423">
        <v>150</v>
      </c>
      <c r="R423">
        <v>11.2</v>
      </c>
      <c r="S423" t="s">
        <v>101</v>
      </c>
      <c r="T423">
        <v>30</v>
      </c>
      <c r="U423" t="s">
        <v>102</v>
      </c>
      <c r="V423" t="s">
        <v>96</v>
      </c>
      <c r="W423">
        <v>3200</v>
      </c>
    </row>
    <row r="424" spans="1:23" x14ac:dyDescent="0.35">
      <c r="A424" t="s">
        <v>591</v>
      </c>
      <c r="B424" t="s">
        <v>25</v>
      </c>
      <c r="C424">
        <v>41</v>
      </c>
      <c r="D424" t="s">
        <v>11</v>
      </c>
      <c r="E424" t="s">
        <v>26</v>
      </c>
      <c r="F424" t="s">
        <v>27</v>
      </c>
      <c r="G424" t="s">
        <v>21</v>
      </c>
      <c r="H424" t="s">
        <v>15</v>
      </c>
      <c r="I424" t="s">
        <v>28</v>
      </c>
      <c r="J424" t="s">
        <v>91</v>
      </c>
      <c r="K424" t="s">
        <v>104</v>
      </c>
      <c r="L424" s="5">
        <v>45865</v>
      </c>
      <c r="M424" s="7">
        <v>5.5555555555555552E-2</v>
      </c>
      <c r="N424" s="7">
        <v>0.41319444444444442</v>
      </c>
      <c r="O424" t="s">
        <v>105</v>
      </c>
      <c r="P424" t="s">
        <v>106</v>
      </c>
      <c r="Q424">
        <v>2450</v>
      </c>
      <c r="R424">
        <v>30.2</v>
      </c>
      <c r="S424" t="s">
        <v>94</v>
      </c>
      <c r="T424">
        <v>0</v>
      </c>
      <c r="U424" t="s">
        <v>107</v>
      </c>
      <c r="V424" t="s">
        <v>103</v>
      </c>
      <c r="W424">
        <v>13200</v>
      </c>
    </row>
    <row r="425" spans="1:23" x14ac:dyDescent="0.35">
      <c r="A425" t="s">
        <v>592</v>
      </c>
      <c r="B425" t="s">
        <v>30</v>
      </c>
      <c r="C425">
        <v>25</v>
      </c>
      <c r="D425" t="s">
        <v>18</v>
      </c>
      <c r="E425" t="s">
        <v>31</v>
      </c>
      <c r="F425" t="s">
        <v>32</v>
      </c>
      <c r="G425" t="s">
        <v>21</v>
      </c>
      <c r="H425" t="s">
        <v>33</v>
      </c>
      <c r="I425" t="s">
        <v>34</v>
      </c>
      <c r="J425" t="s">
        <v>108</v>
      </c>
      <c r="K425" t="s">
        <v>109</v>
      </c>
      <c r="L425" s="5">
        <v>45865</v>
      </c>
      <c r="M425" s="7">
        <v>0.34027777777777779</v>
      </c>
      <c r="N425" s="7">
        <v>0.58333333333333337</v>
      </c>
      <c r="O425" t="s">
        <v>110</v>
      </c>
      <c r="P425" t="s">
        <v>93</v>
      </c>
      <c r="Q425">
        <v>420</v>
      </c>
      <c r="R425">
        <v>15.6</v>
      </c>
      <c r="S425" t="s">
        <v>111</v>
      </c>
      <c r="T425">
        <v>0</v>
      </c>
      <c r="U425" t="s">
        <v>95</v>
      </c>
      <c r="V425" t="s">
        <v>112</v>
      </c>
      <c r="W425">
        <v>3500</v>
      </c>
    </row>
    <row r="426" spans="1:23" x14ac:dyDescent="0.35">
      <c r="A426" t="s">
        <v>593</v>
      </c>
      <c r="B426" t="s">
        <v>36</v>
      </c>
      <c r="C426">
        <v>38</v>
      </c>
      <c r="D426" t="s">
        <v>11</v>
      </c>
      <c r="E426" t="s">
        <v>37</v>
      </c>
      <c r="F426" t="s">
        <v>38</v>
      </c>
      <c r="G426" t="s">
        <v>21</v>
      </c>
      <c r="H426" t="s">
        <v>39</v>
      </c>
      <c r="I426" t="s">
        <v>40</v>
      </c>
      <c r="J426" t="s">
        <v>113</v>
      </c>
      <c r="K426" t="s">
        <v>114</v>
      </c>
      <c r="L426" s="5">
        <v>45866</v>
      </c>
      <c r="M426" s="7">
        <v>0.91666666666666663</v>
      </c>
      <c r="N426" s="7">
        <v>0.57291666666666663</v>
      </c>
      <c r="O426" t="s">
        <v>115</v>
      </c>
      <c r="P426" t="s">
        <v>100</v>
      </c>
      <c r="Q426">
        <v>1980</v>
      </c>
      <c r="R426">
        <v>27.5</v>
      </c>
      <c r="S426" t="s">
        <v>94</v>
      </c>
      <c r="T426">
        <v>0</v>
      </c>
      <c r="U426" t="s">
        <v>102</v>
      </c>
      <c r="V426" t="s">
        <v>103</v>
      </c>
      <c r="W426">
        <v>9700</v>
      </c>
    </row>
    <row r="427" spans="1:23" x14ac:dyDescent="0.35">
      <c r="A427" t="s">
        <v>594</v>
      </c>
      <c r="B427" t="s">
        <v>42</v>
      </c>
      <c r="C427">
        <v>31</v>
      </c>
      <c r="D427" t="s">
        <v>18</v>
      </c>
      <c r="E427" t="s">
        <v>43</v>
      </c>
      <c r="F427" t="s">
        <v>44</v>
      </c>
      <c r="G427" t="s">
        <v>21</v>
      </c>
      <c r="H427" t="s">
        <v>15</v>
      </c>
      <c r="I427" t="s">
        <v>45</v>
      </c>
      <c r="J427" t="s">
        <v>91</v>
      </c>
      <c r="K427" t="s">
        <v>116</v>
      </c>
      <c r="L427" s="5">
        <v>45866</v>
      </c>
      <c r="M427" s="7">
        <v>0.15625</v>
      </c>
      <c r="N427" s="7">
        <v>0.47222222222222221</v>
      </c>
      <c r="O427" t="s">
        <v>117</v>
      </c>
      <c r="P427" t="s">
        <v>118</v>
      </c>
      <c r="Q427">
        <v>980</v>
      </c>
      <c r="R427">
        <v>19.3</v>
      </c>
      <c r="S427" t="s">
        <v>101</v>
      </c>
      <c r="T427">
        <v>35</v>
      </c>
      <c r="U427" t="s">
        <v>95</v>
      </c>
      <c r="V427" t="s">
        <v>96</v>
      </c>
      <c r="W427">
        <v>5400</v>
      </c>
    </row>
    <row r="428" spans="1:23" x14ac:dyDescent="0.35">
      <c r="A428" t="s">
        <v>595</v>
      </c>
      <c r="B428" t="s">
        <v>47</v>
      </c>
      <c r="C428">
        <v>45</v>
      </c>
      <c r="D428" t="s">
        <v>11</v>
      </c>
      <c r="E428" t="s">
        <v>48</v>
      </c>
      <c r="F428" t="s">
        <v>49</v>
      </c>
      <c r="G428" t="s">
        <v>21</v>
      </c>
      <c r="H428" t="s">
        <v>14</v>
      </c>
      <c r="I428" t="s">
        <v>28</v>
      </c>
      <c r="J428" t="s">
        <v>90</v>
      </c>
      <c r="K428" t="s">
        <v>104</v>
      </c>
      <c r="L428" s="5">
        <v>45867</v>
      </c>
      <c r="M428" s="7">
        <v>0.42708333333333331</v>
      </c>
      <c r="N428" s="7">
        <v>0.77083333333333337</v>
      </c>
      <c r="O428" t="s">
        <v>119</v>
      </c>
      <c r="P428" t="s">
        <v>100</v>
      </c>
      <c r="Q428">
        <v>1650</v>
      </c>
      <c r="R428">
        <v>26.8</v>
      </c>
      <c r="S428" t="s">
        <v>94</v>
      </c>
      <c r="T428">
        <v>0</v>
      </c>
      <c r="U428" t="s">
        <v>107</v>
      </c>
      <c r="V428" t="s">
        <v>103</v>
      </c>
      <c r="W428">
        <v>11000</v>
      </c>
    </row>
    <row r="429" spans="1:23" x14ac:dyDescent="0.35">
      <c r="A429" t="s">
        <v>596</v>
      </c>
      <c r="B429" t="s">
        <v>51</v>
      </c>
      <c r="C429">
        <v>27</v>
      </c>
      <c r="D429" t="s">
        <v>18</v>
      </c>
      <c r="E429" t="s">
        <v>52</v>
      </c>
      <c r="F429" t="s">
        <v>53</v>
      </c>
      <c r="G429" t="s">
        <v>21</v>
      </c>
      <c r="H429" t="s">
        <v>22</v>
      </c>
      <c r="I429" t="s">
        <v>40</v>
      </c>
      <c r="J429" t="s">
        <v>97</v>
      </c>
      <c r="K429" t="s">
        <v>114</v>
      </c>
      <c r="L429" s="5">
        <v>45867</v>
      </c>
      <c r="M429" s="7">
        <v>0.24305555555555555</v>
      </c>
      <c r="N429" s="7">
        <v>0.72222222222222221</v>
      </c>
      <c r="O429" t="s">
        <v>120</v>
      </c>
      <c r="P429" t="s">
        <v>93</v>
      </c>
      <c r="Q429">
        <v>740</v>
      </c>
      <c r="R429">
        <v>17.2</v>
      </c>
      <c r="S429" t="s">
        <v>111</v>
      </c>
      <c r="T429">
        <v>0</v>
      </c>
      <c r="U429" t="s">
        <v>95</v>
      </c>
      <c r="V429" t="s">
        <v>96</v>
      </c>
      <c r="W429">
        <v>4100</v>
      </c>
    </row>
    <row r="430" spans="1:23" x14ac:dyDescent="0.35">
      <c r="A430" t="s">
        <v>597</v>
      </c>
      <c r="B430" t="s">
        <v>55</v>
      </c>
      <c r="C430">
        <v>36</v>
      </c>
      <c r="D430" t="s">
        <v>11</v>
      </c>
      <c r="E430" t="s">
        <v>12</v>
      </c>
      <c r="F430" s="3" t="s">
        <v>56</v>
      </c>
      <c r="G430" t="s">
        <v>13</v>
      </c>
      <c r="H430" t="s">
        <v>57</v>
      </c>
      <c r="I430" t="s">
        <v>33</v>
      </c>
      <c r="J430" t="s">
        <v>121</v>
      </c>
      <c r="K430" t="s">
        <v>108</v>
      </c>
      <c r="L430" s="5">
        <v>45868</v>
      </c>
      <c r="M430" s="7">
        <v>0.60069444444444442</v>
      </c>
      <c r="N430" s="7">
        <v>0.71527777777777779</v>
      </c>
      <c r="O430" t="s">
        <v>122</v>
      </c>
      <c r="P430" t="s">
        <v>93</v>
      </c>
      <c r="Q430">
        <v>125</v>
      </c>
      <c r="R430">
        <v>12</v>
      </c>
      <c r="S430" t="s">
        <v>94</v>
      </c>
      <c r="T430">
        <v>0</v>
      </c>
      <c r="U430" t="s">
        <v>102</v>
      </c>
      <c r="V430" t="s">
        <v>103</v>
      </c>
      <c r="W430">
        <v>1800</v>
      </c>
    </row>
    <row r="431" spans="1:23" x14ac:dyDescent="0.35">
      <c r="A431" t="s">
        <v>598</v>
      </c>
      <c r="B431" t="s">
        <v>59</v>
      </c>
      <c r="C431">
        <v>30</v>
      </c>
      <c r="D431" t="s">
        <v>18</v>
      </c>
      <c r="E431" t="s">
        <v>19</v>
      </c>
      <c r="F431" t="s">
        <v>60</v>
      </c>
      <c r="G431" t="s">
        <v>13</v>
      </c>
      <c r="H431" t="s">
        <v>15</v>
      </c>
      <c r="I431" t="s">
        <v>14</v>
      </c>
      <c r="J431" t="s">
        <v>91</v>
      </c>
      <c r="K431" t="s">
        <v>90</v>
      </c>
      <c r="L431" s="5">
        <v>45868</v>
      </c>
      <c r="M431" s="7">
        <v>0.40277777777777779</v>
      </c>
      <c r="N431" s="7">
        <v>0.51736111111111116</v>
      </c>
      <c r="O431" t="s">
        <v>123</v>
      </c>
      <c r="P431" t="s">
        <v>118</v>
      </c>
      <c r="Q431">
        <v>310</v>
      </c>
      <c r="R431">
        <v>20.5</v>
      </c>
      <c r="S431" t="s">
        <v>101</v>
      </c>
      <c r="T431">
        <v>35</v>
      </c>
      <c r="U431" t="s">
        <v>95</v>
      </c>
      <c r="V431" t="s">
        <v>96</v>
      </c>
      <c r="W431">
        <v>6200</v>
      </c>
    </row>
    <row r="432" spans="1:23" x14ac:dyDescent="0.35">
      <c r="A432" t="s">
        <v>599</v>
      </c>
      <c r="B432" t="s">
        <v>62</v>
      </c>
      <c r="C432">
        <v>52</v>
      </c>
      <c r="D432" t="s">
        <v>11</v>
      </c>
      <c r="E432" t="s">
        <v>26</v>
      </c>
      <c r="F432" t="s">
        <v>63</v>
      </c>
      <c r="G432" t="s">
        <v>21</v>
      </c>
      <c r="H432" t="s">
        <v>22</v>
      </c>
      <c r="I432" t="s">
        <v>23</v>
      </c>
      <c r="J432" t="s">
        <v>97</v>
      </c>
      <c r="K432" t="s">
        <v>98</v>
      </c>
      <c r="L432" s="5">
        <v>45869</v>
      </c>
      <c r="M432" s="7">
        <v>0.96875</v>
      </c>
      <c r="N432" s="7">
        <v>0.12152777777777778</v>
      </c>
      <c r="O432" t="s">
        <v>124</v>
      </c>
      <c r="P432" t="s">
        <v>100</v>
      </c>
      <c r="Q432">
        <v>1200</v>
      </c>
      <c r="R432">
        <v>28</v>
      </c>
      <c r="S432" t="s">
        <v>94</v>
      </c>
      <c r="T432">
        <v>0</v>
      </c>
      <c r="U432" t="s">
        <v>107</v>
      </c>
      <c r="V432" t="s">
        <v>125</v>
      </c>
      <c r="W432">
        <v>14000</v>
      </c>
    </row>
    <row r="433" spans="1:23" x14ac:dyDescent="0.35">
      <c r="A433" t="s">
        <v>600</v>
      </c>
      <c r="B433" t="s">
        <v>65</v>
      </c>
      <c r="C433">
        <v>24</v>
      </c>
      <c r="D433" t="s">
        <v>18</v>
      </c>
      <c r="E433" t="s">
        <v>12</v>
      </c>
      <c r="F433" s="3" t="s">
        <v>66</v>
      </c>
      <c r="G433" t="s">
        <v>13</v>
      </c>
      <c r="H433" t="s">
        <v>39</v>
      </c>
      <c r="I433" t="s">
        <v>15</v>
      </c>
      <c r="J433" t="s">
        <v>113</v>
      </c>
      <c r="K433" t="s">
        <v>91</v>
      </c>
      <c r="L433" s="5">
        <v>45869</v>
      </c>
      <c r="M433" s="7">
        <v>0.25694444444444442</v>
      </c>
      <c r="N433" s="7">
        <v>0.3611111111111111</v>
      </c>
      <c r="O433" t="s">
        <v>126</v>
      </c>
      <c r="P433" t="s">
        <v>93</v>
      </c>
      <c r="Q433">
        <v>160</v>
      </c>
      <c r="R433">
        <v>10.4</v>
      </c>
      <c r="S433" t="s">
        <v>111</v>
      </c>
      <c r="T433">
        <v>0</v>
      </c>
      <c r="U433" t="s">
        <v>102</v>
      </c>
      <c r="V433" t="s">
        <v>112</v>
      </c>
      <c r="W433">
        <v>900</v>
      </c>
    </row>
    <row r="434" spans="1:23" x14ac:dyDescent="0.35">
      <c r="A434" t="s">
        <v>601</v>
      </c>
      <c r="B434" t="s">
        <v>68</v>
      </c>
      <c r="C434">
        <v>40</v>
      </c>
      <c r="D434" t="s">
        <v>11</v>
      </c>
      <c r="E434" t="s">
        <v>37</v>
      </c>
      <c r="F434" t="s">
        <v>69</v>
      </c>
      <c r="G434" t="s">
        <v>21</v>
      </c>
      <c r="H434" t="s">
        <v>33</v>
      </c>
      <c r="I434" t="s">
        <v>34</v>
      </c>
      <c r="J434" t="s">
        <v>108</v>
      </c>
      <c r="K434" t="s">
        <v>109</v>
      </c>
      <c r="L434" s="5">
        <v>45870</v>
      </c>
      <c r="M434" s="7">
        <v>0.84722222222222221</v>
      </c>
      <c r="N434" s="7">
        <v>9.0277777777777776E-2</v>
      </c>
      <c r="O434" t="s">
        <v>127</v>
      </c>
      <c r="P434" t="s">
        <v>100</v>
      </c>
      <c r="Q434">
        <v>1340</v>
      </c>
      <c r="R434">
        <v>22.6</v>
      </c>
      <c r="S434" t="s">
        <v>94</v>
      </c>
      <c r="T434">
        <v>0</v>
      </c>
      <c r="U434" t="s">
        <v>95</v>
      </c>
      <c r="V434" t="s">
        <v>103</v>
      </c>
      <c r="W434">
        <v>8700</v>
      </c>
    </row>
    <row r="435" spans="1:23" x14ac:dyDescent="0.35">
      <c r="A435" t="s">
        <v>602</v>
      </c>
      <c r="B435" t="s">
        <v>71</v>
      </c>
      <c r="C435">
        <v>33</v>
      </c>
      <c r="D435" t="s">
        <v>18</v>
      </c>
      <c r="E435" t="s">
        <v>43</v>
      </c>
      <c r="F435" t="s">
        <v>72</v>
      </c>
      <c r="G435" t="s">
        <v>21</v>
      </c>
      <c r="H435" t="s">
        <v>15</v>
      </c>
      <c r="I435" t="s">
        <v>40</v>
      </c>
      <c r="J435" t="s">
        <v>91</v>
      </c>
      <c r="K435" t="s">
        <v>114</v>
      </c>
      <c r="L435" s="5">
        <v>45870</v>
      </c>
      <c r="M435" s="7">
        <v>0.11805555555555555</v>
      </c>
      <c r="N435" s="7">
        <v>0.64583333333333337</v>
      </c>
      <c r="O435" t="s">
        <v>128</v>
      </c>
      <c r="P435" t="s">
        <v>106</v>
      </c>
      <c r="Q435">
        <v>2600</v>
      </c>
      <c r="R435">
        <v>31.4</v>
      </c>
      <c r="S435" t="s">
        <v>101</v>
      </c>
      <c r="T435">
        <v>90</v>
      </c>
      <c r="U435" t="s">
        <v>107</v>
      </c>
      <c r="V435" t="s">
        <v>96</v>
      </c>
      <c r="W435">
        <v>15000</v>
      </c>
    </row>
    <row r="436" spans="1:23" x14ac:dyDescent="0.35">
      <c r="A436" t="s">
        <v>603</v>
      </c>
      <c r="B436" t="s">
        <v>74</v>
      </c>
      <c r="C436">
        <v>47</v>
      </c>
      <c r="D436" t="s">
        <v>11</v>
      </c>
      <c r="E436" t="s">
        <v>19</v>
      </c>
      <c r="F436" t="s">
        <v>75</v>
      </c>
      <c r="G436" t="s">
        <v>21</v>
      </c>
      <c r="H436" t="s">
        <v>14</v>
      </c>
      <c r="I436" t="s">
        <v>23</v>
      </c>
      <c r="J436" t="s">
        <v>90</v>
      </c>
      <c r="K436" t="s">
        <v>98</v>
      </c>
      <c r="L436" s="5">
        <v>45871</v>
      </c>
      <c r="M436" s="7">
        <v>0.54513888888888884</v>
      </c>
      <c r="N436" s="7">
        <v>0.71875</v>
      </c>
      <c r="O436" t="s">
        <v>129</v>
      </c>
      <c r="P436" t="s">
        <v>93</v>
      </c>
      <c r="Q436">
        <v>390</v>
      </c>
      <c r="R436">
        <v>16.100000000000001</v>
      </c>
      <c r="S436" t="s">
        <v>94</v>
      </c>
      <c r="T436">
        <v>0</v>
      </c>
      <c r="U436" t="s">
        <v>95</v>
      </c>
      <c r="V436" t="s">
        <v>103</v>
      </c>
      <c r="W436">
        <v>3000</v>
      </c>
    </row>
    <row r="437" spans="1:23" x14ac:dyDescent="0.35">
      <c r="A437" t="s">
        <v>604</v>
      </c>
      <c r="B437" t="s">
        <v>131</v>
      </c>
      <c r="C437">
        <v>28</v>
      </c>
      <c r="D437" t="s">
        <v>18</v>
      </c>
      <c r="E437" t="s">
        <v>52</v>
      </c>
      <c r="F437" t="s">
        <v>132</v>
      </c>
      <c r="G437" t="s">
        <v>21</v>
      </c>
      <c r="H437" t="s">
        <v>33</v>
      </c>
      <c r="I437" t="s">
        <v>28</v>
      </c>
      <c r="J437" t="s">
        <v>108</v>
      </c>
      <c r="K437" t="s">
        <v>104</v>
      </c>
      <c r="L437" s="5">
        <v>45871</v>
      </c>
      <c r="M437" s="7">
        <v>0.32291666666666669</v>
      </c>
      <c r="N437" s="7">
        <v>0.75694444444444442</v>
      </c>
      <c r="O437" t="s">
        <v>133</v>
      </c>
      <c r="P437" t="s">
        <v>118</v>
      </c>
      <c r="Q437">
        <v>980</v>
      </c>
      <c r="R437">
        <v>21</v>
      </c>
      <c r="S437" t="s">
        <v>111</v>
      </c>
      <c r="T437">
        <v>0</v>
      </c>
      <c r="U437" t="s">
        <v>102</v>
      </c>
      <c r="V437" t="s">
        <v>96</v>
      </c>
      <c r="W437">
        <v>7200</v>
      </c>
    </row>
    <row r="438" spans="1:23" x14ac:dyDescent="0.35">
      <c r="A438" t="s">
        <v>605</v>
      </c>
      <c r="B438" t="s">
        <v>135</v>
      </c>
      <c r="C438">
        <v>39</v>
      </c>
      <c r="D438" t="s">
        <v>11</v>
      </c>
      <c r="E438" t="s">
        <v>12</v>
      </c>
      <c r="F438" s="3" t="s">
        <v>136</v>
      </c>
      <c r="G438" t="s">
        <v>13</v>
      </c>
      <c r="H438" t="s">
        <v>15</v>
      </c>
      <c r="I438" t="s">
        <v>22</v>
      </c>
      <c r="J438" t="s">
        <v>91</v>
      </c>
      <c r="K438" t="s">
        <v>97</v>
      </c>
      <c r="L438" s="5">
        <v>45872</v>
      </c>
      <c r="M438" s="7">
        <v>0.47916666666666669</v>
      </c>
      <c r="N438" s="7">
        <v>0.56944444444444442</v>
      </c>
      <c r="O438" t="s">
        <v>137</v>
      </c>
      <c r="P438" t="s">
        <v>93</v>
      </c>
      <c r="Q438">
        <v>110</v>
      </c>
      <c r="R438">
        <v>8.6</v>
      </c>
      <c r="S438" t="s">
        <v>94</v>
      </c>
      <c r="T438">
        <v>0</v>
      </c>
      <c r="U438" t="s">
        <v>95</v>
      </c>
      <c r="V438" t="s">
        <v>103</v>
      </c>
      <c r="W438">
        <v>1500</v>
      </c>
    </row>
    <row r="439" spans="1:23" x14ac:dyDescent="0.35">
      <c r="A439" t="s">
        <v>606</v>
      </c>
      <c r="B439" t="s">
        <v>139</v>
      </c>
      <c r="C439">
        <v>26</v>
      </c>
      <c r="D439" t="s">
        <v>18</v>
      </c>
      <c r="E439" t="s">
        <v>19</v>
      </c>
      <c r="F439" t="s">
        <v>140</v>
      </c>
      <c r="G439" t="s">
        <v>13</v>
      </c>
      <c r="H439" t="s">
        <v>57</v>
      </c>
      <c r="I439" t="s">
        <v>39</v>
      </c>
      <c r="J439" t="s">
        <v>121</v>
      </c>
      <c r="K439" t="s">
        <v>113</v>
      </c>
      <c r="L439" s="5">
        <v>45872</v>
      </c>
      <c r="M439" s="7">
        <v>0.66666666666666663</v>
      </c>
      <c r="N439" s="7">
        <v>0.76736111111111116</v>
      </c>
      <c r="O439" t="s">
        <v>141</v>
      </c>
      <c r="P439" t="s">
        <v>93</v>
      </c>
      <c r="Q439">
        <v>140</v>
      </c>
      <c r="R439">
        <v>11.2</v>
      </c>
      <c r="S439" t="s">
        <v>101</v>
      </c>
      <c r="T439">
        <v>20</v>
      </c>
      <c r="U439" t="s">
        <v>95</v>
      </c>
      <c r="V439" t="s">
        <v>96</v>
      </c>
      <c r="W439">
        <v>2700</v>
      </c>
    </row>
    <row r="440" spans="1:23" x14ac:dyDescent="0.35">
      <c r="A440" t="s">
        <v>607</v>
      </c>
      <c r="B440" t="s">
        <v>143</v>
      </c>
      <c r="C440">
        <v>50</v>
      </c>
      <c r="D440" t="s">
        <v>11</v>
      </c>
      <c r="E440" t="s">
        <v>26</v>
      </c>
      <c r="F440" t="s">
        <v>144</v>
      </c>
      <c r="G440" t="s">
        <v>21</v>
      </c>
      <c r="H440" t="s">
        <v>14</v>
      </c>
      <c r="I440" t="s">
        <v>34</v>
      </c>
      <c r="J440" t="s">
        <v>90</v>
      </c>
      <c r="K440" t="s">
        <v>109</v>
      </c>
      <c r="L440" s="5">
        <v>45873</v>
      </c>
      <c r="M440" s="7">
        <v>0.88194444444444442</v>
      </c>
      <c r="N440" s="7">
        <v>0.2013888888888889</v>
      </c>
      <c r="O440" t="s">
        <v>145</v>
      </c>
      <c r="P440" t="s">
        <v>100</v>
      </c>
      <c r="Q440">
        <v>1450</v>
      </c>
      <c r="R440">
        <v>25.9</v>
      </c>
      <c r="S440" t="s">
        <v>94</v>
      </c>
      <c r="T440">
        <v>0</v>
      </c>
      <c r="U440" t="s">
        <v>107</v>
      </c>
      <c r="V440" t="s">
        <v>125</v>
      </c>
      <c r="W440">
        <v>11800</v>
      </c>
    </row>
    <row r="441" spans="1:23" x14ac:dyDescent="0.35">
      <c r="A441" t="s">
        <v>608</v>
      </c>
      <c r="B441" t="s">
        <v>222</v>
      </c>
      <c r="C441">
        <v>31</v>
      </c>
      <c r="D441" t="s">
        <v>18</v>
      </c>
      <c r="E441" t="s">
        <v>31</v>
      </c>
      <c r="F441" t="s">
        <v>148</v>
      </c>
      <c r="G441" t="s">
        <v>21</v>
      </c>
      <c r="H441" t="s">
        <v>15</v>
      </c>
      <c r="I441" t="s">
        <v>23</v>
      </c>
      <c r="J441" t="s">
        <v>91</v>
      </c>
      <c r="K441" t="s">
        <v>98</v>
      </c>
      <c r="L441" s="5">
        <v>45873</v>
      </c>
      <c r="M441" s="7">
        <v>0.18402777777777779</v>
      </c>
      <c r="N441" s="7">
        <v>0.33333333333333331</v>
      </c>
      <c r="O441" t="s">
        <v>149</v>
      </c>
      <c r="P441" t="s">
        <v>93</v>
      </c>
      <c r="Q441">
        <v>330</v>
      </c>
      <c r="R441">
        <v>13.5</v>
      </c>
      <c r="S441" t="s">
        <v>111</v>
      </c>
      <c r="T441">
        <v>0</v>
      </c>
      <c r="U441" t="s">
        <v>102</v>
      </c>
      <c r="V441" t="s">
        <v>112</v>
      </c>
      <c r="W441">
        <v>2100</v>
      </c>
    </row>
    <row r="442" spans="1:23" x14ac:dyDescent="0.35">
      <c r="A442" t="s">
        <v>609</v>
      </c>
      <c r="B442" t="s">
        <v>224</v>
      </c>
      <c r="C442">
        <v>44</v>
      </c>
      <c r="D442" t="s">
        <v>11</v>
      </c>
      <c r="E442" t="s">
        <v>12</v>
      </c>
      <c r="F442" s="3" t="s">
        <v>225</v>
      </c>
      <c r="G442" t="s">
        <v>13</v>
      </c>
      <c r="H442" t="s">
        <v>22</v>
      </c>
      <c r="I442" t="s">
        <v>57</v>
      </c>
      <c r="J442" t="s">
        <v>97</v>
      </c>
      <c r="K442" t="s">
        <v>121</v>
      </c>
      <c r="L442" s="5">
        <v>45874</v>
      </c>
      <c r="M442" s="7">
        <v>0.38194444444444442</v>
      </c>
      <c r="N442" s="7">
        <v>0.4861111111111111</v>
      </c>
      <c r="O442" t="s">
        <v>226</v>
      </c>
      <c r="P442" t="s">
        <v>93</v>
      </c>
      <c r="Q442">
        <v>125</v>
      </c>
      <c r="R442">
        <v>12</v>
      </c>
      <c r="S442" t="s">
        <v>94</v>
      </c>
      <c r="T442">
        <v>0</v>
      </c>
      <c r="U442" t="s">
        <v>95</v>
      </c>
      <c r="V442" t="s">
        <v>103</v>
      </c>
      <c r="W442">
        <v>2100</v>
      </c>
    </row>
    <row r="443" spans="1:23" x14ac:dyDescent="0.35">
      <c r="A443" t="s">
        <v>610</v>
      </c>
      <c r="B443" t="s">
        <v>30</v>
      </c>
      <c r="C443">
        <v>25</v>
      </c>
      <c r="D443" t="s">
        <v>18</v>
      </c>
      <c r="E443" t="s">
        <v>19</v>
      </c>
      <c r="F443" t="s">
        <v>20</v>
      </c>
      <c r="G443" t="s">
        <v>21</v>
      </c>
      <c r="H443" t="s">
        <v>15</v>
      </c>
      <c r="I443" t="s">
        <v>28</v>
      </c>
      <c r="J443" t="s">
        <v>91</v>
      </c>
      <c r="K443" t="s">
        <v>104</v>
      </c>
      <c r="L443" s="5">
        <v>45874</v>
      </c>
      <c r="M443" s="7">
        <v>5.2083333333333336E-2</v>
      </c>
      <c r="N443" s="7">
        <v>0.40972222222222221</v>
      </c>
      <c r="O443" t="s">
        <v>99</v>
      </c>
      <c r="P443" t="s">
        <v>100</v>
      </c>
      <c r="Q443">
        <v>860</v>
      </c>
      <c r="R443">
        <v>24</v>
      </c>
      <c r="S443" t="s">
        <v>101</v>
      </c>
      <c r="T443">
        <v>50</v>
      </c>
      <c r="U443" t="s">
        <v>102</v>
      </c>
      <c r="V443" t="s">
        <v>96</v>
      </c>
      <c r="W443">
        <v>8400</v>
      </c>
    </row>
    <row r="444" spans="1:23" x14ac:dyDescent="0.35">
      <c r="A444" t="s">
        <v>611</v>
      </c>
      <c r="B444" t="s">
        <v>197</v>
      </c>
      <c r="C444">
        <v>38</v>
      </c>
      <c r="D444" t="s">
        <v>11</v>
      </c>
      <c r="E444" t="s">
        <v>37</v>
      </c>
      <c r="F444" t="s">
        <v>38</v>
      </c>
      <c r="G444" t="s">
        <v>21</v>
      </c>
      <c r="H444" t="s">
        <v>39</v>
      </c>
      <c r="I444" t="s">
        <v>40</v>
      </c>
      <c r="J444" t="s">
        <v>113</v>
      </c>
      <c r="K444" t="s">
        <v>114</v>
      </c>
      <c r="L444" s="5">
        <v>45875</v>
      </c>
      <c r="M444" s="7">
        <v>0.91666666666666663</v>
      </c>
      <c r="N444" s="7">
        <v>0.57291666666666663</v>
      </c>
      <c r="O444" t="s">
        <v>115</v>
      </c>
      <c r="P444" t="s">
        <v>100</v>
      </c>
      <c r="Q444">
        <v>1980</v>
      </c>
      <c r="R444">
        <v>27.5</v>
      </c>
      <c r="S444" t="s">
        <v>94</v>
      </c>
      <c r="T444">
        <v>0</v>
      </c>
      <c r="U444" t="s">
        <v>102</v>
      </c>
      <c r="V444" t="s">
        <v>103</v>
      </c>
      <c r="W444">
        <v>9700</v>
      </c>
    </row>
    <row r="445" spans="1:23" x14ac:dyDescent="0.35">
      <c r="A445" t="s">
        <v>612</v>
      </c>
      <c r="B445" t="s">
        <v>42</v>
      </c>
      <c r="C445">
        <v>31</v>
      </c>
      <c r="D445" t="s">
        <v>18</v>
      </c>
      <c r="E445" t="s">
        <v>43</v>
      </c>
      <c r="F445" t="s">
        <v>44</v>
      </c>
      <c r="G445" t="s">
        <v>21</v>
      </c>
      <c r="H445" t="s">
        <v>15</v>
      </c>
      <c r="I445" t="s">
        <v>45</v>
      </c>
      <c r="J445" t="s">
        <v>91</v>
      </c>
      <c r="K445" t="s">
        <v>116</v>
      </c>
      <c r="L445" s="5">
        <v>45875</v>
      </c>
      <c r="M445" s="7">
        <v>0.15625</v>
      </c>
      <c r="N445" s="7">
        <v>0.47222222222222221</v>
      </c>
      <c r="O445" t="s">
        <v>117</v>
      </c>
      <c r="P445" t="s">
        <v>118</v>
      </c>
      <c r="Q445">
        <v>980</v>
      </c>
      <c r="R445">
        <v>19.3</v>
      </c>
      <c r="S445" t="s">
        <v>94</v>
      </c>
      <c r="T445">
        <v>0</v>
      </c>
      <c r="U445" t="s">
        <v>95</v>
      </c>
      <c r="V445" t="s">
        <v>96</v>
      </c>
      <c r="W445">
        <v>5400</v>
      </c>
    </row>
    <row r="446" spans="1:23" x14ac:dyDescent="0.35">
      <c r="A446" t="s">
        <v>613</v>
      </c>
      <c r="B446" t="s">
        <v>231</v>
      </c>
      <c r="C446">
        <v>35</v>
      </c>
      <c r="D446" t="s">
        <v>11</v>
      </c>
      <c r="E446" t="s">
        <v>26</v>
      </c>
      <c r="F446" t="s">
        <v>232</v>
      </c>
      <c r="G446" t="s">
        <v>21</v>
      </c>
      <c r="H446" t="s">
        <v>22</v>
      </c>
      <c r="I446" t="s">
        <v>28</v>
      </c>
      <c r="J446" t="s">
        <v>97</v>
      </c>
      <c r="K446" t="s">
        <v>104</v>
      </c>
      <c r="L446" s="5">
        <v>45876</v>
      </c>
      <c r="M446" s="7">
        <v>9.0277777777777776E-2</v>
      </c>
      <c r="N446" s="7">
        <v>0.36805555555555558</v>
      </c>
      <c r="O446" t="s">
        <v>119</v>
      </c>
      <c r="P446" t="s">
        <v>100</v>
      </c>
      <c r="Q446">
        <v>1800</v>
      </c>
      <c r="R446">
        <v>26.5</v>
      </c>
      <c r="S446" t="s">
        <v>94</v>
      </c>
      <c r="T446">
        <v>0</v>
      </c>
      <c r="U446" t="s">
        <v>107</v>
      </c>
      <c r="V446" t="s">
        <v>103</v>
      </c>
      <c r="W446">
        <v>12000</v>
      </c>
    </row>
    <row r="447" spans="1:23" x14ac:dyDescent="0.35">
      <c r="A447" t="s">
        <v>614</v>
      </c>
      <c r="B447" t="s">
        <v>234</v>
      </c>
      <c r="C447">
        <v>28</v>
      </c>
      <c r="D447" t="s">
        <v>18</v>
      </c>
      <c r="E447" t="s">
        <v>12</v>
      </c>
      <c r="F447" s="3" t="s">
        <v>235</v>
      </c>
      <c r="G447" t="s">
        <v>13</v>
      </c>
      <c r="H447" t="s">
        <v>14</v>
      </c>
      <c r="I447" t="s">
        <v>15</v>
      </c>
      <c r="J447" t="s">
        <v>90</v>
      </c>
      <c r="K447" t="s">
        <v>91</v>
      </c>
      <c r="L447" s="5">
        <v>45876</v>
      </c>
      <c r="M447" s="7">
        <v>0.28125</v>
      </c>
      <c r="N447" s="7">
        <v>0.3888888888888889</v>
      </c>
      <c r="O447" t="s">
        <v>236</v>
      </c>
      <c r="P447" t="s">
        <v>93</v>
      </c>
      <c r="Q447">
        <v>150</v>
      </c>
      <c r="R447">
        <v>11.2</v>
      </c>
      <c r="S447" t="s">
        <v>101</v>
      </c>
      <c r="T447">
        <v>30</v>
      </c>
      <c r="U447" t="s">
        <v>102</v>
      </c>
      <c r="V447" t="s">
        <v>96</v>
      </c>
      <c r="W447">
        <v>3200</v>
      </c>
    </row>
    <row r="448" spans="1:23" x14ac:dyDescent="0.35">
      <c r="A448" t="s">
        <v>615</v>
      </c>
      <c r="B448" t="s">
        <v>25</v>
      </c>
      <c r="C448">
        <v>41</v>
      </c>
      <c r="D448" t="s">
        <v>11</v>
      </c>
      <c r="E448" t="s">
        <v>26</v>
      </c>
      <c r="F448" t="s">
        <v>27</v>
      </c>
      <c r="G448" t="s">
        <v>21</v>
      </c>
      <c r="H448" t="s">
        <v>15</v>
      </c>
      <c r="I448" t="s">
        <v>28</v>
      </c>
      <c r="J448" t="s">
        <v>91</v>
      </c>
      <c r="K448" t="s">
        <v>104</v>
      </c>
      <c r="L448" s="5">
        <v>45877</v>
      </c>
      <c r="M448" s="7">
        <v>5.5555555555555552E-2</v>
      </c>
      <c r="N448" s="7">
        <v>0.41319444444444442</v>
      </c>
      <c r="O448" t="s">
        <v>105</v>
      </c>
      <c r="P448" t="s">
        <v>106</v>
      </c>
      <c r="Q448">
        <v>2450</v>
      </c>
      <c r="R448">
        <v>30.2</v>
      </c>
      <c r="S448" t="s">
        <v>94</v>
      </c>
      <c r="T448">
        <v>0</v>
      </c>
      <c r="U448" t="s">
        <v>107</v>
      </c>
      <c r="V448" t="s">
        <v>103</v>
      </c>
      <c r="W448">
        <v>13200</v>
      </c>
    </row>
    <row r="449" spans="1:23" x14ac:dyDescent="0.35">
      <c r="A449" t="s">
        <v>616</v>
      </c>
      <c r="B449" t="s">
        <v>30</v>
      </c>
      <c r="C449">
        <v>25</v>
      </c>
      <c r="D449" t="s">
        <v>18</v>
      </c>
      <c r="E449" t="s">
        <v>31</v>
      </c>
      <c r="F449" t="s">
        <v>32</v>
      </c>
      <c r="G449" t="s">
        <v>21</v>
      </c>
      <c r="H449" t="s">
        <v>33</v>
      </c>
      <c r="I449" t="s">
        <v>34</v>
      </c>
      <c r="J449" t="s">
        <v>108</v>
      </c>
      <c r="K449" t="s">
        <v>109</v>
      </c>
      <c r="L449" s="5">
        <v>45877</v>
      </c>
      <c r="M449" s="7">
        <v>0.34027777777777779</v>
      </c>
      <c r="N449" s="7">
        <v>0.58333333333333337</v>
      </c>
      <c r="O449" t="s">
        <v>110</v>
      </c>
      <c r="P449" t="s">
        <v>93</v>
      </c>
      <c r="Q449">
        <v>420</v>
      </c>
      <c r="R449">
        <v>15.6</v>
      </c>
      <c r="S449" t="s">
        <v>111</v>
      </c>
      <c r="T449">
        <v>0</v>
      </c>
      <c r="U449" t="s">
        <v>95</v>
      </c>
      <c r="V449" t="s">
        <v>112</v>
      </c>
      <c r="W449">
        <v>3500</v>
      </c>
    </row>
    <row r="450" spans="1:23" x14ac:dyDescent="0.35">
      <c r="A450" t="s">
        <v>617</v>
      </c>
      <c r="B450" t="s">
        <v>36</v>
      </c>
      <c r="C450">
        <v>38</v>
      </c>
      <c r="D450" t="s">
        <v>11</v>
      </c>
      <c r="E450" t="s">
        <v>37</v>
      </c>
      <c r="F450" t="s">
        <v>38</v>
      </c>
      <c r="G450" t="s">
        <v>21</v>
      </c>
      <c r="H450" t="s">
        <v>39</v>
      </c>
      <c r="I450" t="s">
        <v>40</v>
      </c>
      <c r="J450" t="s">
        <v>113</v>
      </c>
      <c r="K450" t="s">
        <v>114</v>
      </c>
      <c r="L450" s="5">
        <v>45878</v>
      </c>
      <c r="M450" s="7">
        <v>0.91666666666666663</v>
      </c>
      <c r="N450" s="7">
        <v>0.57291666666666663</v>
      </c>
      <c r="O450" t="s">
        <v>115</v>
      </c>
      <c r="P450" t="s">
        <v>100</v>
      </c>
      <c r="Q450">
        <v>1980</v>
      </c>
      <c r="R450">
        <v>27.5</v>
      </c>
      <c r="S450" t="s">
        <v>94</v>
      </c>
      <c r="T450">
        <v>0</v>
      </c>
      <c r="U450" t="s">
        <v>102</v>
      </c>
      <c r="V450" t="s">
        <v>103</v>
      </c>
      <c r="W450">
        <v>9700</v>
      </c>
    </row>
    <row r="451" spans="1:23" x14ac:dyDescent="0.35">
      <c r="A451" t="s">
        <v>618</v>
      </c>
      <c r="B451" t="s">
        <v>42</v>
      </c>
      <c r="C451">
        <v>31</v>
      </c>
      <c r="D451" t="s">
        <v>18</v>
      </c>
      <c r="E451" t="s">
        <v>43</v>
      </c>
      <c r="F451" t="s">
        <v>44</v>
      </c>
      <c r="G451" t="s">
        <v>21</v>
      </c>
      <c r="H451" t="s">
        <v>15</v>
      </c>
      <c r="I451" t="s">
        <v>45</v>
      </c>
      <c r="J451" t="s">
        <v>91</v>
      </c>
      <c r="K451" t="s">
        <v>116</v>
      </c>
      <c r="L451" s="5">
        <v>45878</v>
      </c>
      <c r="M451" s="7">
        <v>0.15625</v>
      </c>
      <c r="N451" s="7">
        <v>0.47222222222222221</v>
      </c>
      <c r="O451" t="s">
        <v>117</v>
      </c>
      <c r="P451" t="s">
        <v>118</v>
      </c>
      <c r="Q451">
        <v>980</v>
      </c>
      <c r="R451">
        <v>19.3</v>
      </c>
      <c r="S451" t="s">
        <v>101</v>
      </c>
      <c r="T451">
        <v>35</v>
      </c>
      <c r="U451" t="s">
        <v>95</v>
      </c>
      <c r="V451" t="s">
        <v>96</v>
      </c>
      <c r="W451">
        <v>5400</v>
      </c>
    </row>
    <row r="452" spans="1:23" x14ac:dyDescent="0.35">
      <c r="A452" t="s">
        <v>619</v>
      </c>
      <c r="B452" t="s">
        <v>620</v>
      </c>
      <c r="C452">
        <v>29</v>
      </c>
      <c r="D452" t="s">
        <v>11</v>
      </c>
      <c r="E452" t="s">
        <v>12</v>
      </c>
      <c r="F452" s="11" t="s">
        <v>719</v>
      </c>
      <c r="G452" t="s">
        <v>13</v>
      </c>
      <c r="H452" t="s">
        <v>15</v>
      </c>
      <c r="I452" t="s">
        <v>22</v>
      </c>
      <c r="J452" t="s">
        <v>91</v>
      </c>
      <c r="K452" t="s">
        <v>97</v>
      </c>
      <c r="L452" s="5">
        <v>45879</v>
      </c>
      <c r="M452" s="7">
        <v>0.25694444444444442</v>
      </c>
      <c r="N452" s="7">
        <v>0.34375</v>
      </c>
      <c r="O452" t="s">
        <v>92</v>
      </c>
      <c r="P452" t="s">
        <v>93</v>
      </c>
      <c r="Q452">
        <v>120</v>
      </c>
      <c r="R452">
        <v>10.5</v>
      </c>
      <c r="S452" t="s">
        <v>94</v>
      </c>
      <c r="T452">
        <v>0</v>
      </c>
      <c r="U452" t="s">
        <v>102</v>
      </c>
      <c r="V452" t="s">
        <v>103</v>
      </c>
      <c r="W452">
        <v>1500</v>
      </c>
    </row>
    <row r="453" spans="1:23" x14ac:dyDescent="0.35">
      <c r="A453" t="s">
        <v>621</v>
      </c>
      <c r="B453" t="s">
        <v>622</v>
      </c>
      <c r="C453">
        <v>26</v>
      </c>
      <c r="D453" t="s">
        <v>18</v>
      </c>
      <c r="E453" t="s">
        <v>19</v>
      </c>
      <c r="F453" t="s">
        <v>623</v>
      </c>
      <c r="G453" t="s">
        <v>13</v>
      </c>
      <c r="H453" t="s">
        <v>14</v>
      </c>
      <c r="I453" t="s">
        <v>33</v>
      </c>
      <c r="J453" t="s">
        <v>90</v>
      </c>
      <c r="K453" t="s">
        <v>108</v>
      </c>
      <c r="L453" s="5">
        <v>45879</v>
      </c>
      <c r="M453" s="7">
        <v>0.39583333333333331</v>
      </c>
      <c r="N453" s="7">
        <v>0.44791666666666669</v>
      </c>
      <c r="O453" t="s">
        <v>236</v>
      </c>
      <c r="P453" t="s">
        <v>93</v>
      </c>
      <c r="Q453">
        <v>95</v>
      </c>
      <c r="R453">
        <v>9.1999999999999993</v>
      </c>
      <c r="S453" t="s">
        <v>101</v>
      </c>
      <c r="T453">
        <v>25</v>
      </c>
      <c r="U453" t="s">
        <v>95</v>
      </c>
      <c r="V453" t="s">
        <v>96</v>
      </c>
      <c r="W453">
        <v>2100</v>
      </c>
    </row>
    <row r="454" spans="1:23" x14ac:dyDescent="0.35">
      <c r="A454" t="s">
        <v>624</v>
      </c>
      <c r="B454" t="s">
        <v>625</v>
      </c>
      <c r="C454">
        <v>34</v>
      </c>
      <c r="D454" t="s">
        <v>11</v>
      </c>
      <c r="E454" t="s">
        <v>26</v>
      </c>
      <c r="F454" t="s">
        <v>63</v>
      </c>
      <c r="G454" t="s">
        <v>21</v>
      </c>
      <c r="H454" t="s">
        <v>22</v>
      </c>
      <c r="I454" t="s">
        <v>23</v>
      </c>
      <c r="J454" t="s">
        <v>97</v>
      </c>
      <c r="K454" t="s">
        <v>98</v>
      </c>
      <c r="L454" s="5">
        <v>45880</v>
      </c>
      <c r="M454" s="7">
        <v>0.95833333333333337</v>
      </c>
      <c r="N454" s="7">
        <v>7.6388888888888895E-2</v>
      </c>
      <c r="O454" t="s">
        <v>156</v>
      </c>
      <c r="P454" t="s">
        <v>100</v>
      </c>
      <c r="Q454">
        <v>1150</v>
      </c>
      <c r="R454">
        <v>27</v>
      </c>
      <c r="S454" t="s">
        <v>94</v>
      </c>
      <c r="T454">
        <v>0</v>
      </c>
      <c r="U454" t="s">
        <v>107</v>
      </c>
      <c r="V454" t="s">
        <v>125</v>
      </c>
      <c r="W454">
        <v>12000</v>
      </c>
    </row>
    <row r="455" spans="1:23" x14ac:dyDescent="0.35">
      <c r="A455" t="s">
        <v>626</v>
      </c>
      <c r="B455" t="s">
        <v>627</v>
      </c>
      <c r="C455">
        <v>31</v>
      </c>
      <c r="D455" t="s">
        <v>18</v>
      </c>
      <c r="E455" t="s">
        <v>31</v>
      </c>
      <c r="F455" t="s">
        <v>628</v>
      </c>
      <c r="G455" t="s">
        <v>21</v>
      </c>
      <c r="H455" t="s">
        <v>15</v>
      </c>
      <c r="I455" t="s">
        <v>629</v>
      </c>
      <c r="J455" t="s">
        <v>91</v>
      </c>
      <c r="K455" t="s">
        <v>630</v>
      </c>
      <c r="L455" s="5">
        <v>45880</v>
      </c>
      <c r="M455" s="7">
        <v>0.19444444444444445</v>
      </c>
      <c r="N455" s="7">
        <v>0.25694444444444442</v>
      </c>
      <c r="O455" t="s">
        <v>172</v>
      </c>
      <c r="P455" t="s">
        <v>93</v>
      </c>
      <c r="Q455">
        <v>310</v>
      </c>
      <c r="R455">
        <v>14.5</v>
      </c>
      <c r="S455" t="s">
        <v>111</v>
      </c>
      <c r="T455">
        <v>0</v>
      </c>
      <c r="U455" t="s">
        <v>95</v>
      </c>
      <c r="V455" t="s">
        <v>112</v>
      </c>
      <c r="W455">
        <v>3400</v>
      </c>
    </row>
    <row r="456" spans="1:23" x14ac:dyDescent="0.35">
      <c r="A456" t="s">
        <v>631</v>
      </c>
      <c r="B456" t="s">
        <v>632</v>
      </c>
      <c r="C456">
        <v>40</v>
      </c>
      <c r="D456" t="s">
        <v>11</v>
      </c>
      <c r="E456" t="s">
        <v>43</v>
      </c>
      <c r="F456" t="s">
        <v>633</v>
      </c>
      <c r="G456" t="s">
        <v>21</v>
      </c>
      <c r="H456" t="s">
        <v>33</v>
      </c>
      <c r="I456" t="s">
        <v>45</v>
      </c>
      <c r="J456" t="s">
        <v>108</v>
      </c>
      <c r="K456" t="s">
        <v>116</v>
      </c>
      <c r="L456" s="5">
        <v>45881</v>
      </c>
      <c r="M456" s="7">
        <v>9.7222222222222224E-2</v>
      </c>
      <c r="N456" s="7">
        <v>0.4375</v>
      </c>
      <c r="O456" t="s">
        <v>168</v>
      </c>
      <c r="P456" t="s">
        <v>100</v>
      </c>
      <c r="Q456">
        <v>1700</v>
      </c>
      <c r="R456">
        <v>25.6</v>
      </c>
      <c r="S456" t="s">
        <v>94</v>
      </c>
      <c r="T456">
        <v>0</v>
      </c>
      <c r="U456" t="s">
        <v>102</v>
      </c>
      <c r="V456" t="s">
        <v>103</v>
      </c>
      <c r="W456">
        <v>9800</v>
      </c>
    </row>
    <row r="457" spans="1:23" x14ac:dyDescent="0.35">
      <c r="A457" t="s">
        <v>634</v>
      </c>
      <c r="B457" t="s">
        <v>635</v>
      </c>
      <c r="C457">
        <v>27</v>
      </c>
      <c r="D457" t="s">
        <v>18</v>
      </c>
      <c r="E457" t="s">
        <v>12</v>
      </c>
      <c r="F457" s="11" t="s">
        <v>720</v>
      </c>
      <c r="G457" t="s">
        <v>13</v>
      </c>
      <c r="H457" t="s">
        <v>39</v>
      </c>
      <c r="I457" t="s">
        <v>57</v>
      </c>
      <c r="J457" t="s">
        <v>113</v>
      </c>
      <c r="K457" t="s">
        <v>121</v>
      </c>
      <c r="L457" s="5">
        <v>45881</v>
      </c>
      <c r="M457" s="7">
        <v>0.55208333333333337</v>
      </c>
      <c r="N457" s="7">
        <v>0.64930555555555558</v>
      </c>
      <c r="O457" t="s">
        <v>176</v>
      </c>
      <c r="P457" t="s">
        <v>93</v>
      </c>
      <c r="Q457">
        <v>130</v>
      </c>
      <c r="R457">
        <v>11</v>
      </c>
      <c r="S457" t="s">
        <v>94</v>
      </c>
      <c r="T457">
        <v>0</v>
      </c>
      <c r="U457" t="s">
        <v>95</v>
      </c>
      <c r="V457" t="s">
        <v>96</v>
      </c>
      <c r="W457">
        <v>2500</v>
      </c>
    </row>
    <row r="458" spans="1:23" x14ac:dyDescent="0.35">
      <c r="A458" t="s">
        <v>636</v>
      </c>
      <c r="B458" t="s">
        <v>231</v>
      </c>
      <c r="C458">
        <v>36</v>
      </c>
      <c r="D458" t="s">
        <v>11</v>
      </c>
      <c r="E458" t="s">
        <v>48</v>
      </c>
      <c r="F458" t="s">
        <v>637</v>
      </c>
      <c r="G458" t="s">
        <v>21</v>
      </c>
      <c r="H458" t="s">
        <v>14</v>
      </c>
      <c r="I458" t="s">
        <v>28</v>
      </c>
      <c r="J458" t="s">
        <v>90</v>
      </c>
      <c r="K458" t="s">
        <v>104</v>
      </c>
      <c r="L458" s="5">
        <v>45882</v>
      </c>
      <c r="M458" s="7">
        <v>0.41666666666666669</v>
      </c>
      <c r="N458" s="7">
        <v>0.76736111111111116</v>
      </c>
      <c r="O458" t="s">
        <v>99</v>
      </c>
      <c r="P458" t="s">
        <v>100</v>
      </c>
      <c r="Q458">
        <v>1600</v>
      </c>
      <c r="R458">
        <v>26.3</v>
      </c>
      <c r="S458" t="s">
        <v>101</v>
      </c>
      <c r="T458">
        <v>40</v>
      </c>
      <c r="U458" t="s">
        <v>107</v>
      </c>
      <c r="V458" t="s">
        <v>103</v>
      </c>
      <c r="W458">
        <v>11000</v>
      </c>
    </row>
    <row r="459" spans="1:23" x14ac:dyDescent="0.35">
      <c r="A459" t="s">
        <v>638</v>
      </c>
      <c r="B459" t="s">
        <v>639</v>
      </c>
      <c r="C459">
        <v>24</v>
      </c>
      <c r="D459" t="s">
        <v>18</v>
      </c>
      <c r="E459" t="s">
        <v>52</v>
      </c>
      <c r="F459" t="s">
        <v>640</v>
      </c>
      <c r="G459" t="s">
        <v>21</v>
      </c>
      <c r="H459" t="s">
        <v>22</v>
      </c>
      <c r="I459" t="s">
        <v>40</v>
      </c>
      <c r="J459" t="s">
        <v>97</v>
      </c>
      <c r="K459" t="s">
        <v>114</v>
      </c>
      <c r="L459" s="5">
        <v>45882</v>
      </c>
      <c r="M459" s="7">
        <v>0.23958333333333334</v>
      </c>
      <c r="N459" s="7">
        <v>0.70486111111111116</v>
      </c>
      <c r="O459" t="s">
        <v>641</v>
      </c>
      <c r="P459" t="s">
        <v>93</v>
      </c>
      <c r="Q459">
        <v>760</v>
      </c>
      <c r="R459">
        <v>16.8</v>
      </c>
      <c r="S459" t="s">
        <v>94</v>
      </c>
      <c r="T459">
        <v>0</v>
      </c>
      <c r="U459" t="s">
        <v>102</v>
      </c>
      <c r="V459" t="s">
        <v>96</v>
      </c>
      <c r="W459">
        <v>4200</v>
      </c>
    </row>
    <row r="460" spans="1:23" x14ac:dyDescent="0.35">
      <c r="A460" t="s">
        <v>642</v>
      </c>
      <c r="B460" t="s">
        <v>643</v>
      </c>
      <c r="C460">
        <v>38</v>
      </c>
      <c r="D460" t="s">
        <v>11</v>
      </c>
      <c r="E460" t="s">
        <v>37</v>
      </c>
      <c r="F460" t="s">
        <v>644</v>
      </c>
      <c r="G460" t="s">
        <v>21</v>
      </c>
      <c r="H460" t="s">
        <v>15</v>
      </c>
      <c r="I460" t="s">
        <v>34</v>
      </c>
      <c r="J460" t="s">
        <v>91</v>
      </c>
      <c r="K460" t="s">
        <v>109</v>
      </c>
      <c r="L460" s="5">
        <v>45883</v>
      </c>
      <c r="M460" s="7">
        <v>0.97916666666666663</v>
      </c>
      <c r="N460" s="7">
        <v>0.30555555555555558</v>
      </c>
      <c r="O460" t="s">
        <v>645</v>
      </c>
      <c r="P460" t="s">
        <v>100</v>
      </c>
      <c r="Q460">
        <v>1900</v>
      </c>
      <c r="R460">
        <v>28.2</v>
      </c>
      <c r="S460" t="s">
        <v>94</v>
      </c>
      <c r="T460">
        <v>0</v>
      </c>
      <c r="U460" t="s">
        <v>95</v>
      </c>
      <c r="V460" t="s">
        <v>103</v>
      </c>
      <c r="W460">
        <v>10500</v>
      </c>
    </row>
    <row r="461" spans="1:23" x14ac:dyDescent="0.35">
      <c r="A461" t="s">
        <v>646</v>
      </c>
      <c r="B461" t="s">
        <v>647</v>
      </c>
      <c r="C461">
        <v>30</v>
      </c>
      <c r="D461" t="s">
        <v>18</v>
      </c>
      <c r="E461" t="s">
        <v>12</v>
      </c>
      <c r="F461" s="3" t="s">
        <v>225</v>
      </c>
      <c r="G461" t="s">
        <v>13</v>
      </c>
      <c r="H461" t="s">
        <v>57</v>
      </c>
      <c r="I461" t="s">
        <v>15</v>
      </c>
      <c r="J461" t="s">
        <v>121</v>
      </c>
      <c r="K461" t="s">
        <v>91</v>
      </c>
      <c r="L461" s="5">
        <v>45883</v>
      </c>
      <c r="M461" s="7">
        <v>0.68055555555555558</v>
      </c>
      <c r="N461" s="7">
        <v>0.78125</v>
      </c>
      <c r="O461" t="s">
        <v>648</v>
      </c>
      <c r="P461" t="s">
        <v>93</v>
      </c>
      <c r="Q461">
        <v>140</v>
      </c>
      <c r="R461">
        <v>10.9</v>
      </c>
      <c r="S461" t="s">
        <v>111</v>
      </c>
      <c r="T461">
        <v>0</v>
      </c>
      <c r="U461" t="s">
        <v>102</v>
      </c>
      <c r="V461" t="s">
        <v>96</v>
      </c>
      <c r="W461">
        <v>1800</v>
      </c>
    </row>
    <row r="462" spans="1:23" x14ac:dyDescent="0.35">
      <c r="A462" t="s">
        <v>649</v>
      </c>
      <c r="B462" t="s">
        <v>650</v>
      </c>
      <c r="C462">
        <v>33</v>
      </c>
      <c r="D462" t="s">
        <v>11</v>
      </c>
      <c r="E462" t="s">
        <v>19</v>
      </c>
      <c r="F462" t="s">
        <v>651</v>
      </c>
      <c r="G462" t="s">
        <v>21</v>
      </c>
      <c r="H462" t="s">
        <v>15</v>
      </c>
      <c r="I462" t="s">
        <v>28</v>
      </c>
      <c r="J462" t="s">
        <v>91</v>
      </c>
      <c r="K462" t="s">
        <v>104</v>
      </c>
      <c r="L462" s="5">
        <v>45884</v>
      </c>
      <c r="M462" s="7">
        <v>4.8611111111111112E-2</v>
      </c>
      <c r="N462" s="7">
        <v>0.40277777777777779</v>
      </c>
      <c r="O462" t="s">
        <v>652</v>
      </c>
      <c r="P462" t="s">
        <v>118</v>
      </c>
      <c r="Q462">
        <v>890</v>
      </c>
      <c r="R462">
        <v>22</v>
      </c>
      <c r="S462" t="s">
        <v>101</v>
      </c>
      <c r="T462">
        <v>60</v>
      </c>
      <c r="U462" t="s">
        <v>95</v>
      </c>
      <c r="V462" t="s">
        <v>103</v>
      </c>
      <c r="W462">
        <v>7600</v>
      </c>
    </row>
    <row r="463" spans="1:23" x14ac:dyDescent="0.35">
      <c r="A463" t="s">
        <v>653</v>
      </c>
      <c r="B463" t="s">
        <v>654</v>
      </c>
      <c r="C463">
        <v>28</v>
      </c>
      <c r="D463" t="s">
        <v>18</v>
      </c>
      <c r="E463" t="s">
        <v>26</v>
      </c>
      <c r="F463" t="s">
        <v>655</v>
      </c>
      <c r="G463" t="s">
        <v>21</v>
      </c>
      <c r="H463" t="s">
        <v>33</v>
      </c>
      <c r="I463" t="s">
        <v>23</v>
      </c>
      <c r="J463" t="s">
        <v>108</v>
      </c>
      <c r="K463" t="s">
        <v>98</v>
      </c>
      <c r="L463" s="5">
        <v>45884</v>
      </c>
      <c r="M463" s="7">
        <v>0.89583333333333337</v>
      </c>
      <c r="N463" s="7">
        <v>2.0833333333333332E-2</v>
      </c>
      <c r="O463" t="s">
        <v>656</v>
      </c>
      <c r="P463" t="s">
        <v>93</v>
      </c>
      <c r="Q463">
        <v>410</v>
      </c>
      <c r="R463">
        <v>15.7</v>
      </c>
      <c r="S463" t="s">
        <v>94</v>
      </c>
      <c r="T463">
        <v>0</v>
      </c>
      <c r="U463" t="s">
        <v>102</v>
      </c>
      <c r="V463" t="s">
        <v>96</v>
      </c>
      <c r="W463">
        <v>5000</v>
      </c>
    </row>
    <row r="464" spans="1:23" x14ac:dyDescent="0.35">
      <c r="A464" t="s">
        <v>657</v>
      </c>
      <c r="B464" t="s">
        <v>658</v>
      </c>
      <c r="C464">
        <v>41</v>
      </c>
      <c r="D464" t="s">
        <v>11</v>
      </c>
      <c r="E464" t="s">
        <v>31</v>
      </c>
      <c r="F464" t="s">
        <v>659</v>
      </c>
      <c r="G464" t="s">
        <v>21</v>
      </c>
      <c r="H464" t="s">
        <v>15</v>
      </c>
      <c r="I464" t="s">
        <v>629</v>
      </c>
      <c r="J464" t="s">
        <v>91</v>
      </c>
      <c r="K464" t="s">
        <v>630</v>
      </c>
      <c r="L464" s="5">
        <v>45885</v>
      </c>
      <c r="M464" s="7">
        <v>0.1423611111111111</v>
      </c>
      <c r="N464" s="7">
        <v>0.21527777777777779</v>
      </c>
      <c r="O464" t="s">
        <v>660</v>
      </c>
      <c r="P464" t="s">
        <v>100</v>
      </c>
      <c r="Q464">
        <v>1320</v>
      </c>
      <c r="R464">
        <v>24.5</v>
      </c>
      <c r="S464" t="s">
        <v>94</v>
      </c>
      <c r="T464">
        <v>0</v>
      </c>
      <c r="U464" t="s">
        <v>107</v>
      </c>
      <c r="V464" t="s">
        <v>103</v>
      </c>
      <c r="W464">
        <v>9900</v>
      </c>
    </row>
    <row r="465" spans="1:23" x14ac:dyDescent="0.35">
      <c r="A465" t="s">
        <v>661</v>
      </c>
      <c r="B465" t="s">
        <v>662</v>
      </c>
      <c r="C465">
        <v>25</v>
      </c>
      <c r="D465" t="s">
        <v>18</v>
      </c>
      <c r="E465" t="s">
        <v>12</v>
      </c>
      <c r="F465" s="3" t="s">
        <v>663</v>
      </c>
      <c r="G465" t="s">
        <v>13</v>
      </c>
      <c r="H465" t="s">
        <v>14</v>
      </c>
      <c r="I465" t="s">
        <v>39</v>
      </c>
      <c r="J465" t="s">
        <v>90</v>
      </c>
      <c r="K465" t="s">
        <v>113</v>
      </c>
      <c r="L465" s="5">
        <v>45885</v>
      </c>
      <c r="M465" s="7">
        <v>0.3611111111111111</v>
      </c>
      <c r="N465" s="7">
        <v>0.43055555555555558</v>
      </c>
      <c r="O465" t="s">
        <v>664</v>
      </c>
      <c r="P465" t="s">
        <v>93</v>
      </c>
      <c r="Q465">
        <v>115</v>
      </c>
      <c r="R465">
        <v>9.8000000000000007</v>
      </c>
      <c r="S465" t="s">
        <v>101</v>
      </c>
      <c r="T465">
        <v>15</v>
      </c>
      <c r="U465" t="s">
        <v>95</v>
      </c>
      <c r="V465" t="s">
        <v>96</v>
      </c>
      <c r="W465">
        <v>2000</v>
      </c>
    </row>
    <row r="466" spans="1:23" x14ac:dyDescent="0.35">
      <c r="A466" t="s">
        <v>665</v>
      </c>
      <c r="B466" t="s">
        <v>182</v>
      </c>
      <c r="C466">
        <v>39</v>
      </c>
      <c r="D466" t="s">
        <v>11</v>
      </c>
      <c r="E466" t="s">
        <v>43</v>
      </c>
      <c r="F466" t="s">
        <v>666</v>
      </c>
      <c r="G466" t="s">
        <v>21</v>
      </c>
      <c r="H466" t="s">
        <v>15</v>
      </c>
      <c r="I466" t="s">
        <v>45</v>
      </c>
      <c r="J466" t="s">
        <v>91</v>
      </c>
      <c r="K466" t="s">
        <v>116</v>
      </c>
      <c r="L466" s="5">
        <v>45886</v>
      </c>
      <c r="M466" s="7">
        <v>8.3333333333333329E-2</v>
      </c>
      <c r="N466" s="7">
        <v>0.42708333333333331</v>
      </c>
      <c r="O466" t="s">
        <v>191</v>
      </c>
      <c r="P466" t="s">
        <v>106</v>
      </c>
      <c r="Q466">
        <v>2500</v>
      </c>
      <c r="R466">
        <v>30</v>
      </c>
      <c r="S466" t="s">
        <v>94</v>
      </c>
      <c r="T466">
        <v>0</v>
      </c>
      <c r="U466" t="s">
        <v>102</v>
      </c>
      <c r="V466" t="s">
        <v>103</v>
      </c>
      <c r="W466">
        <v>15000</v>
      </c>
    </row>
    <row r="467" spans="1:23" x14ac:dyDescent="0.35">
      <c r="A467" t="s">
        <v>667</v>
      </c>
      <c r="B467" t="s">
        <v>668</v>
      </c>
      <c r="C467">
        <v>32</v>
      </c>
      <c r="D467" t="s">
        <v>18</v>
      </c>
      <c r="E467" t="s">
        <v>52</v>
      </c>
      <c r="F467" t="s">
        <v>669</v>
      </c>
      <c r="G467" t="s">
        <v>21</v>
      </c>
      <c r="H467" t="s">
        <v>22</v>
      </c>
      <c r="I467" t="s">
        <v>670</v>
      </c>
      <c r="J467" t="s">
        <v>97</v>
      </c>
      <c r="K467" t="s">
        <v>671</v>
      </c>
      <c r="L467" s="5">
        <v>45886</v>
      </c>
      <c r="M467" s="7">
        <v>0.25</v>
      </c>
      <c r="N467" s="7">
        <v>0.77083333333333337</v>
      </c>
      <c r="O467" t="s">
        <v>672</v>
      </c>
      <c r="P467" t="s">
        <v>93</v>
      </c>
      <c r="Q467">
        <v>820</v>
      </c>
      <c r="R467">
        <v>18.100000000000001</v>
      </c>
      <c r="S467" t="s">
        <v>94</v>
      </c>
      <c r="T467">
        <v>0</v>
      </c>
      <c r="U467" t="s">
        <v>95</v>
      </c>
      <c r="V467" t="s">
        <v>96</v>
      </c>
      <c r="W467">
        <v>4300</v>
      </c>
    </row>
    <row r="468" spans="1:23" x14ac:dyDescent="0.35">
      <c r="A468" t="s">
        <v>673</v>
      </c>
      <c r="B468" t="s">
        <v>674</v>
      </c>
      <c r="C468">
        <v>37</v>
      </c>
      <c r="D468" t="s">
        <v>11</v>
      </c>
      <c r="E468" t="s">
        <v>12</v>
      </c>
      <c r="F468" s="3" t="s">
        <v>675</v>
      </c>
      <c r="G468" t="s">
        <v>13</v>
      </c>
      <c r="H468" t="s">
        <v>15</v>
      </c>
      <c r="I468" t="s">
        <v>33</v>
      </c>
      <c r="J468" t="s">
        <v>91</v>
      </c>
      <c r="K468" t="s">
        <v>108</v>
      </c>
      <c r="L468" s="5">
        <v>45887</v>
      </c>
      <c r="M468" s="7">
        <v>0.46527777777777779</v>
      </c>
      <c r="N468" s="7">
        <v>0.55902777777777779</v>
      </c>
      <c r="O468" t="s">
        <v>676</v>
      </c>
      <c r="P468" t="s">
        <v>93</v>
      </c>
      <c r="Q468">
        <v>150</v>
      </c>
      <c r="R468">
        <v>12</v>
      </c>
      <c r="S468" t="s">
        <v>94</v>
      </c>
      <c r="T468">
        <v>0</v>
      </c>
      <c r="U468" t="s">
        <v>102</v>
      </c>
      <c r="V468" t="s">
        <v>103</v>
      </c>
      <c r="W468">
        <v>2200</v>
      </c>
    </row>
    <row r="469" spans="1:23" x14ac:dyDescent="0.35">
      <c r="A469" t="s">
        <v>677</v>
      </c>
      <c r="B469" t="s">
        <v>257</v>
      </c>
      <c r="C469">
        <v>29</v>
      </c>
      <c r="D469" t="s">
        <v>18</v>
      </c>
      <c r="E469" t="s">
        <v>19</v>
      </c>
      <c r="F469" t="s">
        <v>678</v>
      </c>
      <c r="G469" t="s">
        <v>21</v>
      </c>
      <c r="H469" t="s">
        <v>14</v>
      </c>
      <c r="I469" t="s">
        <v>23</v>
      </c>
      <c r="J469" t="s">
        <v>90</v>
      </c>
      <c r="K469" t="s">
        <v>98</v>
      </c>
      <c r="L469" s="5">
        <v>45887</v>
      </c>
      <c r="M469" s="7">
        <v>0.98958333333333337</v>
      </c>
      <c r="N469" s="7">
        <v>0.1076388888888889</v>
      </c>
      <c r="O469" t="s">
        <v>679</v>
      </c>
      <c r="P469" t="s">
        <v>118</v>
      </c>
      <c r="Q469">
        <v>450</v>
      </c>
      <c r="R469">
        <v>17.3</v>
      </c>
      <c r="S469" t="s">
        <v>111</v>
      </c>
      <c r="T469">
        <v>0</v>
      </c>
      <c r="U469" t="s">
        <v>95</v>
      </c>
      <c r="V469" t="s">
        <v>96</v>
      </c>
      <c r="W469">
        <v>3900</v>
      </c>
    </row>
    <row r="470" spans="1:23" x14ac:dyDescent="0.35">
      <c r="A470" t="s">
        <v>680</v>
      </c>
      <c r="B470" t="s">
        <v>681</v>
      </c>
      <c r="C470">
        <v>45</v>
      </c>
      <c r="D470" t="s">
        <v>11</v>
      </c>
      <c r="E470" t="s">
        <v>26</v>
      </c>
      <c r="F470" t="s">
        <v>682</v>
      </c>
      <c r="G470" t="s">
        <v>21</v>
      </c>
      <c r="H470" t="s">
        <v>22</v>
      </c>
      <c r="I470" t="s">
        <v>28</v>
      </c>
      <c r="J470" t="s">
        <v>97</v>
      </c>
      <c r="K470" t="s">
        <v>104</v>
      </c>
      <c r="L470" s="5">
        <v>45888</v>
      </c>
      <c r="M470" s="7">
        <v>9.375E-2</v>
      </c>
      <c r="N470" s="7">
        <v>0.3611111111111111</v>
      </c>
      <c r="O470" t="s">
        <v>683</v>
      </c>
      <c r="P470" t="s">
        <v>106</v>
      </c>
      <c r="Q470">
        <v>2600</v>
      </c>
      <c r="R470">
        <v>31</v>
      </c>
      <c r="S470" t="s">
        <v>94</v>
      </c>
      <c r="T470">
        <v>0</v>
      </c>
      <c r="U470" t="s">
        <v>107</v>
      </c>
      <c r="V470" t="s">
        <v>103</v>
      </c>
      <c r="W470">
        <v>16000</v>
      </c>
    </row>
    <row r="471" spans="1:23" x14ac:dyDescent="0.35">
      <c r="A471" t="s">
        <v>684</v>
      </c>
      <c r="B471" t="s">
        <v>685</v>
      </c>
      <c r="C471">
        <v>27</v>
      </c>
      <c r="D471" t="s">
        <v>18</v>
      </c>
      <c r="E471" t="s">
        <v>37</v>
      </c>
      <c r="F471" t="s">
        <v>686</v>
      </c>
      <c r="G471" t="s">
        <v>21</v>
      </c>
      <c r="H471" t="s">
        <v>33</v>
      </c>
      <c r="I471" t="s">
        <v>34</v>
      </c>
      <c r="J471" t="s">
        <v>108</v>
      </c>
      <c r="K471" t="s">
        <v>109</v>
      </c>
      <c r="L471" s="5">
        <v>45888</v>
      </c>
      <c r="M471" s="7">
        <v>0.84027777777777779</v>
      </c>
      <c r="N471" s="7">
        <v>8.3333333333333329E-2</v>
      </c>
      <c r="O471" t="s">
        <v>208</v>
      </c>
      <c r="P471" t="s">
        <v>93</v>
      </c>
      <c r="Q471">
        <v>390</v>
      </c>
      <c r="R471">
        <v>14.2</v>
      </c>
      <c r="S471" t="s">
        <v>101</v>
      </c>
      <c r="T471">
        <v>30</v>
      </c>
      <c r="U471" t="s">
        <v>102</v>
      </c>
      <c r="V471" t="s">
        <v>96</v>
      </c>
      <c r="W471">
        <v>5200</v>
      </c>
    </row>
    <row r="472" spans="1:23" x14ac:dyDescent="0.35">
      <c r="A472" t="s">
        <v>687</v>
      </c>
      <c r="B472" t="s">
        <v>620</v>
      </c>
      <c r="C472">
        <v>29</v>
      </c>
      <c r="D472" t="s">
        <v>11</v>
      </c>
      <c r="E472" t="s">
        <v>12</v>
      </c>
      <c r="F472" s="11" t="s">
        <v>719</v>
      </c>
      <c r="G472" t="s">
        <v>13</v>
      </c>
      <c r="H472" t="s">
        <v>15</v>
      </c>
      <c r="I472" t="s">
        <v>22</v>
      </c>
      <c r="J472" t="s">
        <v>91</v>
      </c>
      <c r="K472" t="s">
        <v>97</v>
      </c>
      <c r="L472" s="5">
        <v>45889</v>
      </c>
      <c r="M472" s="7">
        <v>0.25694444444444442</v>
      </c>
      <c r="N472" s="7">
        <v>0.34375</v>
      </c>
      <c r="O472" t="s">
        <v>92</v>
      </c>
      <c r="P472" t="s">
        <v>93</v>
      </c>
      <c r="Q472">
        <v>120</v>
      </c>
      <c r="R472">
        <v>10.5</v>
      </c>
      <c r="S472" t="s">
        <v>94</v>
      </c>
      <c r="T472">
        <v>0</v>
      </c>
      <c r="U472" t="s">
        <v>102</v>
      </c>
      <c r="V472" t="s">
        <v>103</v>
      </c>
      <c r="W472">
        <v>1500</v>
      </c>
    </row>
    <row r="473" spans="1:23" x14ac:dyDescent="0.35">
      <c r="A473" t="s">
        <v>688</v>
      </c>
      <c r="B473" t="s">
        <v>622</v>
      </c>
      <c r="C473">
        <v>26</v>
      </c>
      <c r="D473" t="s">
        <v>18</v>
      </c>
      <c r="E473" t="s">
        <v>19</v>
      </c>
      <c r="F473" t="s">
        <v>623</v>
      </c>
      <c r="G473" t="s">
        <v>13</v>
      </c>
      <c r="H473" t="s">
        <v>14</v>
      </c>
      <c r="I473" t="s">
        <v>33</v>
      </c>
      <c r="J473" t="s">
        <v>90</v>
      </c>
      <c r="K473" t="s">
        <v>108</v>
      </c>
      <c r="L473" s="5">
        <v>45889</v>
      </c>
      <c r="M473" s="7">
        <v>0.39583333333333331</v>
      </c>
      <c r="N473" s="7">
        <v>0.44791666666666669</v>
      </c>
      <c r="O473" t="s">
        <v>236</v>
      </c>
      <c r="P473" t="s">
        <v>93</v>
      </c>
      <c r="Q473">
        <v>95</v>
      </c>
      <c r="R473">
        <v>9.1999999999999993</v>
      </c>
      <c r="S473" t="s">
        <v>101</v>
      </c>
      <c r="T473">
        <v>25</v>
      </c>
      <c r="U473" t="s">
        <v>95</v>
      </c>
      <c r="V473" t="s">
        <v>96</v>
      </c>
      <c r="W473">
        <v>2100</v>
      </c>
    </row>
    <row r="474" spans="1:23" x14ac:dyDescent="0.35">
      <c r="A474" t="s">
        <v>689</v>
      </c>
      <c r="B474" t="s">
        <v>625</v>
      </c>
      <c r="C474">
        <v>34</v>
      </c>
      <c r="D474" t="s">
        <v>11</v>
      </c>
      <c r="E474" t="s">
        <v>26</v>
      </c>
      <c r="F474" t="s">
        <v>63</v>
      </c>
      <c r="G474" t="s">
        <v>21</v>
      </c>
      <c r="H474" t="s">
        <v>22</v>
      </c>
      <c r="I474" t="s">
        <v>23</v>
      </c>
      <c r="J474" t="s">
        <v>97</v>
      </c>
      <c r="K474" t="s">
        <v>98</v>
      </c>
      <c r="L474" s="5">
        <v>45890</v>
      </c>
      <c r="M474" s="7">
        <v>0.95833333333333337</v>
      </c>
      <c r="N474" s="7">
        <v>7.6388888888888895E-2</v>
      </c>
      <c r="O474" t="s">
        <v>156</v>
      </c>
      <c r="P474" t="s">
        <v>100</v>
      </c>
      <c r="Q474">
        <v>1150</v>
      </c>
      <c r="R474">
        <v>27</v>
      </c>
      <c r="S474" t="s">
        <v>94</v>
      </c>
      <c r="T474">
        <v>0</v>
      </c>
      <c r="U474" t="s">
        <v>107</v>
      </c>
      <c r="V474" t="s">
        <v>125</v>
      </c>
      <c r="W474">
        <v>12000</v>
      </c>
    </row>
    <row r="475" spans="1:23" x14ac:dyDescent="0.35">
      <c r="A475" t="s">
        <v>690</v>
      </c>
      <c r="B475" t="s">
        <v>627</v>
      </c>
      <c r="C475">
        <v>31</v>
      </c>
      <c r="D475" t="s">
        <v>18</v>
      </c>
      <c r="E475" t="s">
        <v>31</v>
      </c>
      <c r="F475" t="s">
        <v>628</v>
      </c>
      <c r="G475" t="s">
        <v>21</v>
      </c>
      <c r="H475" t="s">
        <v>15</v>
      </c>
      <c r="I475" t="s">
        <v>629</v>
      </c>
      <c r="J475" t="s">
        <v>91</v>
      </c>
      <c r="K475" t="s">
        <v>630</v>
      </c>
      <c r="L475" s="5">
        <v>45890</v>
      </c>
      <c r="M475" s="7">
        <v>0.19444444444444445</v>
      </c>
      <c r="N475" s="7">
        <v>0.25694444444444442</v>
      </c>
      <c r="O475" t="s">
        <v>172</v>
      </c>
      <c r="P475" t="s">
        <v>93</v>
      </c>
      <c r="Q475">
        <v>310</v>
      </c>
      <c r="R475">
        <v>14.5</v>
      </c>
      <c r="S475" t="s">
        <v>111</v>
      </c>
      <c r="T475">
        <v>0</v>
      </c>
      <c r="U475" t="s">
        <v>95</v>
      </c>
      <c r="V475" t="s">
        <v>112</v>
      </c>
      <c r="W475">
        <v>3400</v>
      </c>
    </row>
    <row r="476" spans="1:23" x14ac:dyDescent="0.35">
      <c r="A476" t="s">
        <v>691</v>
      </c>
      <c r="B476" t="s">
        <v>632</v>
      </c>
      <c r="C476">
        <v>40</v>
      </c>
      <c r="D476" t="s">
        <v>11</v>
      </c>
      <c r="E476" t="s">
        <v>43</v>
      </c>
      <c r="F476" t="s">
        <v>633</v>
      </c>
      <c r="G476" t="s">
        <v>21</v>
      </c>
      <c r="H476" t="s">
        <v>33</v>
      </c>
      <c r="I476" t="s">
        <v>45</v>
      </c>
      <c r="J476" t="s">
        <v>108</v>
      </c>
      <c r="K476" t="s">
        <v>116</v>
      </c>
      <c r="L476" s="5">
        <v>45891</v>
      </c>
      <c r="M476" s="7">
        <v>9.7222222222222224E-2</v>
      </c>
      <c r="N476" s="7">
        <v>0.4375</v>
      </c>
      <c r="O476" t="s">
        <v>168</v>
      </c>
      <c r="P476" t="s">
        <v>100</v>
      </c>
      <c r="Q476">
        <v>1700</v>
      </c>
      <c r="R476">
        <v>25.6</v>
      </c>
      <c r="S476" t="s">
        <v>94</v>
      </c>
      <c r="T476">
        <v>0</v>
      </c>
      <c r="U476" t="s">
        <v>102</v>
      </c>
      <c r="V476" t="s">
        <v>103</v>
      </c>
      <c r="W476">
        <v>9800</v>
      </c>
    </row>
    <row r="477" spans="1:23" x14ac:dyDescent="0.35">
      <c r="A477" t="s">
        <v>692</v>
      </c>
      <c r="B477" t="s">
        <v>635</v>
      </c>
      <c r="C477">
        <v>27</v>
      </c>
      <c r="D477" t="s">
        <v>18</v>
      </c>
      <c r="E477" t="s">
        <v>12</v>
      </c>
      <c r="F477" s="11" t="s">
        <v>720</v>
      </c>
      <c r="G477" t="s">
        <v>13</v>
      </c>
      <c r="H477" t="s">
        <v>39</v>
      </c>
      <c r="I477" t="s">
        <v>57</v>
      </c>
      <c r="J477" t="s">
        <v>113</v>
      </c>
      <c r="K477" t="s">
        <v>121</v>
      </c>
      <c r="L477" s="5">
        <v>45891</v>
      </c>
      <c r="M477" s="7">
        <v>0.55208333333333337</v>
      </c>
      <c r="N477" s="7">
        <v>0.64930555555555558</v>
      </c>
      <c r="O477" t="s">
        <v>176</v>
      </c>
      <c r="P477" t="s">
        <v>93</v>
      </c>
      <c r="Q477">
        <v>130</v>
      </c>
      <c r="R477">
        <v>11</v>
      </c>
      <c r="S477" t="s">
        <v>94</v>
      </c>
      <c r="T477">
        <v>0</v>
      </c>
      <c r="U477" t="s">
        <v>95</v>
      </c>
      <c r="V477" t="s">
        <v>96</v>
      </c>
      <c r="W477">
        <v>2500</v>
      </c>
    </row>
    <row r="478" spans="1:23" x14ac:dyDescent="0.35">
      <c r="A478" t="s">
        <v>693</v>
      </c>
      <c r="B478" t="s">
        <v>231</v>
      </c>
      <c r="C478">
        <v>36</v>
      </c>
      <c r="D478" t="s">
        <v>11</v>
      </c>
      <c r="E478" t="s">
        <v>48</v>
      </c>
      <c r="F478" t="s">
        <v>637</v>
      </c>
      <c r="G478" t="s">
        <v>21</v>
      </c>
      <c r="H478" t="s">
        <v>14</v>
      </c>
      <c r="I478" t="s">
        <v>28</v>
      </c>
      <c r="J478" t="s">
        <v>90</v>
      </c>
      <c r="K478" t="s">
        <v>104</v>
      </c>
      <c r="L478" s="5">
        <v>45892</v>
      </c>
      <c r="M478" s="7">
        <v>0.41666666666666669</v>
      </c>
      <c r="N478" s="7">
        <v>0.76736111111111116</v>
      </c>
      <c r="O478" t="s">
        <v>99</v>
      </c>
      <c r="P478" t="s">
        <v>100</v>
      </c>
      <c r="Q478">
        <v>1600</v>
      </c>
      <c r="R478">
        <v>26.3</v>
      </c>
      <c r="S478" t="s">
        <v>101</v>
      </c>
      <c r="T478">
        <v>40</v>
      </c>
      <c r="U478" t="s">
        <v>107</v>
      </c>
      <c r="V478" t="s">
        <v>103</v>
      </c>
      <c r="W478">
        <v>11000</v>
      </c>
    </row>
    <row r="479" spans="1:23" x14ac:dyDescent="0.35">
      <c r="A479" t="s">
        <v>694</v>
      </c>
      <c r="B479" t="s">
        <v>639</v>
      </c>
      <c r="C479">
        <v>24</v>
      </c>
      <c r="D479" t="s">
        <v>18</v>
      </c>
      <c r="E479" t="s">
        <v>52</v>
      </c>
      <c r="F479" t="s">
        <v>640</v>
      </c>
      <c r="G479" t="s">
        <v>21</v>
      </c>
      <c r="H479" t="s">
        <v>22</v>
      </c>
      <c r="I479" t="s">
        <v>40</v>
      </c>
      <c r="J479" t="s">
        <v>97</v>
      </c>
      <c r="K479" t="s">
        <v>114</v>
      </c>
      <c r="L479" s="5">
        <v>45892</v>
      </c>
      <c r="M479" s="7">
        <v>0.23958333333333334</v>
      </c>
      <c r="N479" s="7">
        <v>0.70486111111111116</v>
      </c>
      <c r="O479" t="s">
        <v>641</v>
      </c>
      <c r="P479" t="s">
        <v>93</v>
      </c>
      <c r="Q479">
        <v>760</v>
      </c>
      <c r="R479">
        <v>16.8</v>
      </c>
      <c r="S479" t="s">
        <v>94</v>
      </c>
      <c r="T479">
        <v>0</v>
      </c>
      <c r="U479" t="s">
        <v>102</v>
      </c>
      <c r="V479" t="s">
        <v>96</v>
      </c>
      <c r="W479">
        <v>4200</v>
      </c>
    </row>
    <row r="480" spans="1:23" x14ac:dyDescent="0.35">
      <c r="A480" t="s">
        <v>695</v>
      </c>
      <c r="B480" t="s">
        <v>643</v>
      </c>
      <c r="C480">
        <v>38</v>
      </c>
      <c r="D480" t="s">
        <v>11</v>
      </c>
      <c r="E480" t="s">
        <v>37</v>
      </c>
      <c r="F480" t="s">
        <v>644</v>
      </c>
      <c r="G480" t="s">
        <v>21</v>
      </c>
      <c r="H480" t="s">
        <v>15</v>
      </c>
      <c r="I480" t="s">
        <v>34</v>
      </c>
      <c r="J480" t="s">
        <v>91</v>
      </c>
      <c r="K480" t="s">
        <v>109</v>
      </c>
      <c r="L480" s="5">
        <v>45893</v>
      </c>
      <c r="M480" s="7">
        <v>0.97916666666666663</v>
      </c>
      <c r="N480" s="7">
        <v>0.30555555555555558</v>
      </c>
      <c r="O480" t="s">
        <v>645</v>
      </c>
      <c r="P480" t="s">
        <v>100</v>
      </c>
      <c r="Q480">
        <v>1900</v>
      </c>
      <c r="R480">
        <v>28.2</v>
      </c>
      <c r="S480" t="s">
        <v>94</v>
      </c>
      <c r="T480">
        <v>0</v>
      </c>
      <c r="U480" t="s">
        <v>95</v>
      </c>
      <c r="V480" t="s">
        <v>103</v>
      </c>
      <c r="W480">
        <v>10500</v>
      </c>
    </row>
    <row r="481" spans="1:23" x14ac:dyDescent="0.35">
      <c r="A481" t="s">
        <v>696</v>
      </c>
      <c r="B481" t="s">
        <v>647</v>
      </c>
      <c r="C481">
        <v>30</v>
      </c>
      <c r="D481" t="s">
        <v>18</v>
      </c>
      <c r="E481" t="s">
        <v>12</v>
      </c>
      <c r="F481" s="3" t="s">
        <v>225</v>
      </c>
      <c r="G481" t="s">
        <v>13</v>
      </c>
      <c r="H481" t="s">
        <v>57</v>
      </c>
      <c r="I481" t="s">
        <v>15</v>
      </c>
      <c r="J481" t="s">
        <v>121</v>
      </c>
      <c r="K481" t="s">
        <v>91</v>
      </c>
      <c r="L481" s="5">
        <v>45893</v>
      </c>
      <c r="M481" s="7">
        <v>0.68055555555555558</v>
      </c>
      <c r="N481" s="7">
        <v>0.78125</v>
      </c>
      <c r="O481" t="s">
        <v>648</v>
      </c>
      <c r="P481" t="s">
        <v>93</v>
      </c>
      <c r="Q481">
        <v>140</v>
      </c>
      <c r="R481">
        <v>10.9</v>
      </c>
      <c r="S481" t="s">
        <v>111</v>
      </c>
      <c r="T481">
        <v>0</v>
      </c>
      <c r="U481" t="s">
        <v>102</v>
      </c>
      <c r="V481" t="s">
        <v>96</v>
      </c>
      <c r="W481">
        <v>1800</v>
      </c>
    </row>
    <row r="482" spans="1:23" x14ac:dyDescent="0.35">
      <c r="A482" t="s">
        <v>697</v>
      </c>
      <c r="B482" t="s">
        <v>650</v>
      </c>
      <c r="C482">
        <v>33</v>
      </c>
      <c r="D482" t="s">
        <v>11</v>
      </c>
      <c r="E482" t="s">
        <v>19</v>
      </c>
      <c r="F482" t="s">
        <v>651</v>
      </c>
      <c r="G482" t="s">
        <v>21</v>
      </c>
      <c r="H482" t="s">
        <v>15</v>
      </c>
      <c r="I482" t="s">
        <v>28</v>
      </c>
      <c r="J482" t="s">
        <v>91</v>
      </c>
      <c r="K482" t="s">
        <v>104</v>
      </c>
      <c r="L482" s="5">
        <v>45894</v>
      </c>
      <c r="M482" s="7">
        <v>4.8611111111111112E-2</v>
      </c>
      <c r="N482" s="7">
        <v>0.40277777777777779</v>
      </c>
      <c r="O482" t="s">
        <v>652</v>
      </c>
      <c r="P482" t="s">
        <v>118</v>
      </c>
      <c r="Q482">
        <v>890</v>
      </c>
      <c r="R482">
        <v>22</v>
      </c>
      <c r="S482" t="s">
        <v>101</v>
      </c>
      <c r="T482">
        <v>60</v>
      </c>
      <c r="U482" t="s">
        <v>95</v>
      </c>
      <c r="V482" t="s">
        <v>103</v>
      </c>
      <c r="W482">
        <v>7600</v>
      </c>
    </row>
    <row r="483" spans="1:23" x14ac:dyDescent="0.35">
      <c r="A483" t="s">
        <v>698</v>
      </c>
      <c r="B483" t="s">
        <v>654</v>
      </c>
      <c r="C483">
        <v>28</v>
      </c>
      <c r="D483" t="s">
        <v>18</v>
      </c>
      <c r="E483" t="s">
        <v>26</v>
      </c>
      <c r="F483" t="s">
        <v>655</v>
      </c>
      <c r="G483" t="s">
        <v>21</v>
      </c>
      <c r="H483" t="s">
        <v>33</v>
      </c>
      <c r="I483" t="s">
        <v>23</v>
      </c>
      <c r="J483" t="s">
        <v>108</v>
      </c>
      <c r="K483" t="s">
        <v>98</v>
      </c>
      <c r="L483" s="5">
        <v>45894</v>
      </c>
      <c r="M483" s="7">
        <v>0.89583333333333337</v>
      </c>
      <c r="N483" s="7">
        <v>2.0833333333333332E-2</v>
      </c>
      <c r="O483" t="s">
        <v>656</v>
      </c>
      <c r="P483" t="s">
        <v>93</v>
      </c>
      <c r="Q483">
        <v>410</v>
      </c>
      <c r="R483">
        <v>15.7</v>
      </c>
      <c r="S483" t="s">
        <v>94</v>
      </c>
      <c r="T483">
        <v>0</v>
      </c>
      <c r="U483" t="s">
        <v>102</v>
      </c>
      <c r="V483" t="s">
        <v>96</v>
      </c>
      <c r="W483">
        <v>5000</v>
      </c>
    </row>
    <row r="484" spans="1:23" x14ac:dyDescent="0.35">
      <c r="A484" t="s">
        <v>699</v>
      </c>
      <c r="B484" t="s">
        <v>658</v>
      </c>
      <c r="C484">
        <v>41</v>
      </c>
      <c r="D484" t="s">
        <v>11</v>
      </c>
      <c r="E484" t="s">
        <v>31</v>
      </c>
      <c r="F484" t="s">
        <v>659</v>
      </c>
      <c r="G484" t="s">
        <v>21</v>
      </c>
      <c r="H484" t="s">
        <v>15</v>
      </c>
      <c r="I484" t="s">
        <v>629</v>
      </c>
      <c r="J484" t="s">
        <v>91</v>
      </c>
      <c r="K484" t="s">
        <v>630</v>
      </c>
      <c r="L484" s="5">
        <v>45895</v>
      </c>
      <c r="M484" s="7">
        <v>0.1423611111111111</v>
      </c>
      <c r="N484" s="7">
        <v>0.21527777777777779</v>
      </c>
      <c r="O484" t="s">
        <v>660</v>
      </c>
      <c r="P484" t="s">
        <v>100</v>
      </c>
      <c r="Q484">
        <v>1320</v>
      </c>
      <c r="R484">
        <v>24.5</v>
      </c>
      <c r="S484" t="s">
        <v>94</v>
      </c>
      <c r="T484">
        <v>0</v>
      </c>
      <c r="U484" t="s">
        <v>107</v>
      </c>
      <c r="V484" t="s">
        <v>103</v>
      </c>
      <c r="W484">
        <v>9900</v>
      </c>
    </row>
    <row r="485" spans="1:23" x14ac:dyDescent="0.35">
      <c r="A485" t="s">
        <v>700</v>
      </c>
      <c r="B485" t="s">
        <v>662</v>
      </c>
      <c r="C485">
        <v>25</v>
      </c>
      <c r="D485" t="s">
        <v>18</v>
      </c>
      <c r="E485" t="s">
        <v>12</v>
      </c>
      <c r="F485" s="3" t="s">
        <v>663</v>
      </c>
      <c r="G485" t="s">
        <v>13</v>
      </c>
      <c r="H485" t="s">
        <v>14</v>
      </c>
      <c r="I485" t="s">
        <v>39</v>
      </c>
      <c r="J485" t="s">
        <v>90</v>
      </c>
      <c r="K485" t="s">
        <v>113</v>
      </c>
      <c r="L485" s="5">
        <v>45895</v>
      </c>
      <c r="M485" s="7">
        <v>0.3611111111111111</v>
      </c>
      <c r="N485" s="7">
        <v>0.43055555555555558</v>
      </c>
      <c r="O485" t="s">
        <v>664</v>
      </c>
      <c r="P485" t="s">
        <v>93</v>
      </c>
      <c r="Q485">
        <v>115</v>
      </c>
      <c r="R485">
        <v>9.8000000000000007</v>
      </c>
      <c r="S485" t="s">
        <v>101</v>
      </c>
      <c r="T485">
        <v>15</v>
      </c>
      <c r="U485" t="s">
        <v>95</v>
      </c>
      <c r="V485" t="s">
        <v>96</v>
      </c>
      <c r="W485">
        <v>2000</v>
      </c>
    </row>
    <row r="486" spans="1:23" x14ac:dyDescent="0.35">
      <c r="A486" t="s">
        <v>701</v>
      </c>
      <c r="B486" t="s">
        <v>182</v>
      </c>
      <c r="C486">
        <v>39</v>
      </c>
      <c r="D486" t="s">
        <v>11</v>
      </c>
      <c r="E486" t="s">
        <v>43</v>
      </c>
      <c r="F486" t="s">
        <v>666</v>
      </c>
      <c r="G486" t="s">
        <v>21</v>
      </c>
      <c r="H486" t="s">
        <v>15</v>
      </c>
      <c r="I486" t="s">
        <v>45</v>
      </c>
      <c r="J486" t="s">
        <v>91</v>
      </c>
      <c r="K486" t="s">
        <v>116</v>
      </c>
      <c r="L486" s="5">
        <v>45896</v>
      </c>
      <c r="M486" s="7">
        <v>8.3333333333333329E-2</v>
      </c>
      <c r="N486" s="7">
        <v>0.42708333333333331</v>
      </c>
      <c r="O486" t="s">
        <v>191</v>
      </c>
      <c r="P486" t="s">
        <v>106</v>
      </c>
      <c r="Q486">
        <v>2500</v>
      </c>
      <c r="R486">
        <v>30</v>
      </c>
      <c r="S486" t="s">
        <v>94</v>
      </c>
      <c r="T486">
        <v>0</v>
      </c>
      <c r="U486" t="s">
        <v>102</v>
      </c>
      <c r="V486" t="s">
        <v>103</v>
      </c>
      <c r="W486">
        <v>15000</v>
      </c>
    </row>
    <row r="487" spans="1:23" x14ac:dyDescent="0.35">
      <c r="A487" t="s">
        <v>702</v>
      </c>
      <c r="B487" t="s">
        <v>668</v>
      </c>
      <c r="C487">
        <v>32</v>
      </c>
      <c r="D487" t="s">
        <v>18</v>
      </c>
      <c r="E487" t="s">
        <v>52</v>
      </c>
      <c r="F487" t="s">
        <v>669</v>
      </c>
      <c r="G487" t="s">
        <v>21</v>
      </c>
      <c r="H487" t="s">
        <v>22</v>
      </c>
      <c r="I487" t="s">
        <v>670</v>
      </c>
      <c r="J487" t="s">
        <v>97</v>
      </c>
      <c r="K487" t="s">
        <v>671</v>
      </c>
      <c r="L487" s="5">
        <v>45896</v>
      </c>
      <c r="M487" s="7">
        <v>0.25</v>
      </c>
      <c r="N487" s="7">
        <v>0.77083333333333337</v>
      </c>
      <c r="O487" t="s">
        <v>672</v>
      </c>
      <c r="P487" t="s">
        <v>93</v>
      </c>
      <c r="Q487">
        <v>820</v>
      </c>
      <c r="R487">
        <v>18.100000000000001</v>
      </c>
      <c r="S487" t="s">
        <v>94</v>
      </c>
      <c r="T487">
        <v>0</v>
      </c>
      <c r="U487" t="s">
        <v>95</v>
      </c>
      <c r="V487" t="s">
        <v>96</v>
      </c>
      <c r="W487">
        <v>4300</v>
      </c>
    </row>
    <row r="488" spans="1:23" x14ac:dyDescent="0.35">
      <c r="A488" t="s">
        <v>703</v>
      </c>
      <c r="B488" t="s">
        <v>674</v>
      </c>
      <c r="C488">
        <v>37</v>
      </c>
      <c r="D488" t="s">
        <v>11</v>
      </c>
      <c r="E488" t="s">
        <v>12</v>
      </c>
      <c r="F488" s="3" t="s">
        <v>675</v>
      </c>
      <c r="G488" t="s">
        <v>13</v>
      </c>
      <c r="H488" t="s">
        <v>15</v>
      </c>
      <c r="I488" t="s">
        <v>33</v>
      </c>
      <c r="J488" t="s">
        <v>91</v>
      </c>
      <c r="K488" t="s">
        <v>108</v>
      </c>
      <c r="L488" s="5">
        <v>45897</v>
      </c>
      <c r="M488" s="7">
        <v>0.46527777777777779</v>
      </c>
      <c r="N488" s="7">
        <v>0.55902777777777779</v>
      </c>
      <c r="O488" t="s">
        <v>676</v>
      </c>
      <c r="P488" t="s">
        <v>93</v>
      </c>
      <c r="Q488">
        <v>150</v>
      </c>
      <c r="R488">
        <v>12</v>
      </c>
      <c r="S488" t="s">
        <v>94</v>
      </c>
      <c r="T488">
        <v>0</v>
      </c>
      <c r="U488" t="s">
        <v>102</v>
      </c>
      <c r="V488" t="s">
        <v>103</v>
      </c>
      <c r="W488">
        <v>2200</v>
      </c>
    </row>
    <row r="489" spans="1:23" x14ac:dyDescent="0.35">
      <c r="A489" t="s">
        <v>704</v>
      </c>
      <c r="B489" t="s">
        <v>257</v>
      </c>
      <c r="C489">
        <v>29</v>
      </c>
      <c r="D489" t="s">
        <v>18</v>
      </c>
      <c r="E489" t="s">
        <v>19</v>
      </c>
      <c r="F489" t="s">
        <v>678</v>
      </c>
      <c r="G489" t="s">
        <v>21</v>
      </c>
      <c r="H489" t="s">
        <v>14</v>
      </c>
      <c r="I489" t="s">
        <v>23</v>
      </c>
      <c r="J489" t="s">
        <v>90</v>
      </c>
      <c r="K489" t="s">
        <v>98</v>
      </c>
      <c r="L489" s="5">
        <v>45897</v>
      </c>
      <c r="M489" s="7">
        <v>0.98958333333333337</v>
      </c>
      <c r="N489" s="7">
        <v>0.1076388888888889</v>
      </c>
      <c r="O489" t="s">
        <v>679</v>
      </c>
      <c r="P489" t="s">
        <v>118</v>
      </c>
      <c r="Q489">
        <v>450</v>
      </c>
      <c r="R489">
        <v>17.3</v>
      </c>
      <c r="S489" t="s">
        <v>111</v>
      </c>
      <c r="T489">
        <v>0</v>
      </c>
      <c r="U489" t="s">
        <v>95</v>
      </c>
      <c r="V489" t="s">
        <v>96</v>
      </c>
      <c r="W489">
        <v>3900</v>
      </c>
    </row>
    <row r="490" spans="1:23" x14ac:dyDescent="0.35">
      <c r="A490" t="s">
        <v>705</v>
      </c>
      <c r="B490" t="s">
        <v>681</v>
      </c>
      <c r="C490">
        <v>45</v>
      </c>
      <c r="D490" t="s">
        <v>11</v>
      </c>
      <c r="E490" t="s">
        <v>26</v>
      </c>
      <c r="F490" t="s">
        <v>682</v>
      </c>
      <c r="G490" t="s">
        <v>21</v>
      </c>
      <c r="H490" t="s">
        <v>22</v>
      </c>
      <c r="I490" t="s">
        <v>28</v>
      </c>
      <c r="J490" t="s">
        <v>97</v>
      </c>
      <c r="K490" t="s">
        <v>104</v>
      </c>
      <c r="L490" s="5">
        <v>45898</v>
      </c>
      <c r="M490" s="7">
        <v>9.375E-2</v>
      </c>
      <c r="N490" s="7">
        <v>0.3611111111111111</v>
      </c>
      <c r="O490" t="s">
        <v>683</v>
      </c>
      <c r="P490" t="s">
        <v>106</v>
      </c>
      <c r="Q490">
        <v>2600</v>
      </c>
      <c r="R490">
        <v>31</v>
      </c>
      <c r="S490" t="s">
        <v>94</v>
      </c>
      <c r="T490">
        <v>0</v>
      </c>
      <c r="U490" t="s">
        <v>107</v>
      </c>
      <c r="V490" t="s">
        <v>103</v>
      </c>
      <c r="W490">
        <v>16000</v>
      </c>
    </row>
    <row r="491" spans="1:23" x14ac:dyDescent="0.35">
      <c r="A491" t="s">
        <v>706</v>
      </c>
      <c r="B491" t="s">
        <v>685</v>
      </c>
      <c r="C491">
        <v>27</v>
      </c>
      <c r="D491" t="s">
        <v>18</v>
      </c>
      <c r="E491" t="s">
        <v>37</v>
      </c>
      <c r="F491" t="s">
        <v>686</v>
      </c>
      <c r="G491" t="s">
        <v>21</v>
      </c>
      <c r="H491" t="s">
        <v>33</v>
      </c>
      <c r="I491" t="s">
        <v>34</v>
      </c>
      <c r="J491" t="s">
        <v>108</v>
      </c>
      <c r="K491" t="s">
        <v>109</v>
      </c>
      <c r="L491" s="5">
        <v>45898</v>
      </c>
      <c r="M491" s="7">
        <v>0.84027777777777779</v>
      </c>
      <c r="N491" s="7">
        <v>8.3333333333333329E-2</v>
      </c>
      <c r="O491" t="s">
        <v>208</v>
      </c>
      <c r="P491" t="s">
        <v>93</v>
      </c>
      <c r="Q491">
        <v>390</v>
      </c>
      <c r="R491">
        <v>14.2</v>
      </c>
      <c r="S491" t="s">
        <v>101</v>
      </c>
      <c r="T491">
        <v>30</v>
      </c>
      <c r="U491" t="s">
        <v>102</v>
      </c>
      <c r="V491" t="s">
        <v>96</v>
      </c>
      <c r="W491">
        <v>5200</v>
      </c>
    </row>
    <row r="492" spans="1:23" x14ac:dyDescent="0.35">
      <c r="A492" t="s">
        <v>707</v>
      </c>
      <c r="B492" t="s">
        <v>620</v>
      </c>
      <c r="C492">
        <v>29</v>
      </c>
      <c r="D492" t="s">
        <v>11</v>
      </c>
      <c r="E492" t="s">
        <v>12</v>
      </c>
      <c r="F492" s="11" t="s">
        <v>719</v>
      </c>
      <c r="G492" t="s">
        <v>13</v>
      </c>
      <c r="H492" t="s">
        <v>15</v>
      </c>
      <c r="I492" t="s">
        <v>22</v>
      </c>
      <c r="J492" t="s">
        <v>91</v>
      </c>
      <c r="K492" t="s">
        <v>97</v>
      </c>
      <c r="L492" s="5">
        <v>45899</v>
      </c>
      <c r="M492" s="7">
        <v>0.25694444444444442</v>
      </c>
      <c r="N492" s="7">
        <v>0.34375</v>
      </c>
      <c r="O492" t="s">
        <v>92</v>
      </c>
      <c r="P492" t="s">
        <v>93</v>
      </c>
      <c r="Q492">
        <v>120</v>
      </c>
      <c r="R492">
        <v>10.5</v>
      </c>
      <c r="S492" t="s">
        <v>94</v>
      </c>
      <c r="T492">
        <v>0</v>
      </c>
      <c r="U492" t="s">
        <v>102</v>
      </c>
      <c r="V492" t="s">
        <v>103</v>
      </c>
      <c r="W492">
        <v>1500</v>
      </c>
    </row>
    <row r="493" spans="1:23" x14ac:dyDescent="0.35">
      <c r="A493" t="s">
        <v>708</v>
      </c>
      <c r="B493" t="s">
        <v>622</v>
      </c>
      <c r="C493">
        <v>26</v>
      </c>
      <c r="D493" t="s">
        <v>18</v>
      </c>
      <c r="E493" t="s">
        <v>19</v>
      </c>
      <c r="F493" t="s">
        <v>623</v>
      </c>
      <c r="G493" t="s">
        <v>13</v>
      </c>
      <c r="H493" t="s">
        <v>14</v>
      </c>
      <c r="I493" t="s">
        <v>33</v>
      </c>
      <c r="J493" t="s">
        <v>90</v>
      </c>
      <c r="K493" t="s">
        <v>108</v>
      </c>
      <c r="L493" s="5">
        <v>45899</v>
      </c>
      <c r="M493" s="7">
        <v>0.39583333333333331</v>
      </c>
      <c r="N493" s="7">
        <v>0.44791666666666669</v>
      </c>
      <c r="O493" t="s">
        <v>236</v>
      </c>
      <c r="P493" t="s">
        <v>93</v>
      </c>
      <c r="Q493">
        <v>95</v>
      </c>
      <c r="R493">
        <v>9.1999999999999993</v>
      </c>
      <c r="S493" t="s">
        <v>101</v>
      </c>
      <c r="T493">
        <v>25</v>
      </c>
      <c r="U493" t="s">
        <v>95</v>
      </c>
      <c r="V493" t="s">
        <v>96</v>
      </c>
      <c r="W493">
        <v>2100</v>
      </c>
    </row>
    <row r="494" spans="1:23" x14ac:dyDescent="0.35">
      <c r="A494" t="s">
        <v>709</v>
      </c>
      <c r="B494" t="s">
        <v>625</v>
      </c>
      <c r="C494">
        <v>34</v>
      </c>
      <c r="D494" t="s">
        <v>11</v>
      </c>
      <c r="E494" t="s">
        <v>26</v>
      </c>
      <c r="F494" t="s">
        <v>63</v>
      </c>
      <c r="G494" t="s">
        <v>21</v>
      </c>
      <c r="H494" t="s">
        <v>22</v>
      </c>
      <c r="I494" t="s">
        <v>23</v>
      </c>
      <c r="J494" t="s">
        <v>97</v>
      </c>
      <c r="K494" t="s">
        <v>98</v>
      </c>
      <c r="L494" s="5">
        <v>45900</v>
      </c>
      <c r="M494" s="7">
        <v>0.95833333333333337</v>
      </c>
      <c r="N494" s="7">
        <v>7.6388888888888895E-2</v>
      </c>
      <c r="O494" t="s">
        <v>156</v>
      </c>
      <c r="P494" t="s">
        <v>100</v>
      </c>
      <c r="Q494">
        <v>1150</v>
      </c>
      <c r="R494">
        <v>27</v>
      </c>
      <c r="S494" t="s">
        <v>94</v>
      </c>
      <c r="T494">
        <v>0</v>
      </c>
      <c r="U494" t="s">
        <v>107</v>
      </c>
      <c r="V494" t="s">
        <v>125</v>
      </c>
      <c r="W494">
        <v>12000</v>
      </c>
    </row>
    <row r="495" spans="1:23" x14ac:dyDescent="0.35">
      <c r="A495" t="s">
        <v>710</v>
      </c>
      <c r="B495" t="s">
        <v>627</v>
      </c>
      <c r="C495">
        <v>31</v>
      </c>
      <c r="D495" t="s">
        <v>18</v>
      </c>
      <c r="E495" t="s">
        <v>31</v>
      </c>
      <c r="F495" t="s">
        <v>628</v>
      </c>
      <c r="G495" t="s">
        <v>21</v>
      </c>
      <c r="H495" t="s">
        <v>15</v>
      </c>
      <c r="I495" t="s">
        <v>629</v>
      </c>
      <c r="J495" t="s">
        <v>91</v>
      </c>
      <c r="K495" t="s">
        <v>630</v>
      </c>
      <c r="L495" s="5">
        <v>45900</v>
      </c>
      <c r="M495" s="7">
        <v>0.19444444444444445</v>
      </c>
      <c r="N495" s="7">
        <v>0.25694444444444442</v>
      </c>
      <c r="O495" t="s">
        <v>172</v>
      </c>
      <c r="P495" t="s">
        <v>93</v>
      </c>
      <c r="Q495">
        <v>310</v>
      </c>
      <c r="R495">
        <v>14.5</v>
      </c>
      <c r="S495" t="s">
        <v>111</v>
      </c>
      <c r="T495">
        <v>0</v>
      </c>
      <c r="U495" t="s">
        <v>95</v>
      </c>
      <c r="V495" t="s">
        <v>112</v>
      </c>
      <c r="W495">
        <v>3400</v>
      </c>
    </row>
    <row r="496" spans="1:23" x14ac:dyDescent="0.35">
      <c r="A496" t="s">
        <v>711</v>
      </c>
      <c r="B496" t="s">
        <v>632</v>
      </c>
      <c r="C496">
        <v>40</v>
      </c>
      <c r="D496" t="s">
        <v>11</v>
      </c>
      <c r="E496" t="s">
        <v>43</v>
      </c>
      <c r="F496" t="s">
        <v>633</v>
      </c>
      <c r="G496" t="s">
        <v>21</v>
      </c>
      <c r="H496" t="s">
        <v>33</v>
      </c>
      <c r="I496" t="s">
        <v>45</v>
      </c>
      <c r="J496" t="s">
        <v>108</v>
      </c>
      <c r="K496" t="s">
        <v>116</v>
      </c>
      <c r="L496" s="5">
        <v>45901</v>
      </c>
      <c r="M496" s="7">
        <v>9.7222222222222224E-2</v>
      </c>
      <c r="N496" s="7">
        <v>0.4375</v>
      </c>
      <c r="O496" t="s">
        <v>168</v>
      </c>
      <c r="P496" t="s">
        <v>100</v>
      </c>
      <c r="Q496">
        <v>1700</v>
      </c>
      <c r="R496">
        <v>25.6</v>
      </c>
      <c r="S496" t="s">
        <v>94</v>
      </c>
      <c r="T496">
        <v>0</v>
      </c>
      <c r="U496" t="s">
        <v>102</v>
      </c>
      <c r="V496" t="s">
        <v>103</v>
      </c>
      <c r="W496">
        <v>9800</v>
      </c>
    </row>
    <row r="497" spans="1:23" x14ac:dyDescent="0.35">
      <c r="A497" t="s">
        <v>712</v>
      </c>
      <c r="B497" t="s">
        <v>635</v>
      </c>
      <c r="C497">
        <v>27</v>
      </c>
      <c r="D497" t="s">
        <v>18</v>
      </c>
      <c r="E497" t="s">
        <v>12</v>
      </c>
      <c r="F497" s="11" t="s">
        <v>720</v>
      </c>
      <c r="G497" t="s">
        <v>13</v>
      </c>
      <c r="H497" t="s">
        <v>39</v>
      </c>
      <c r="I497" t="s">
        <v>57</v>
      </c>
      <c r="J497" t="s">
        <v>113</v>
      </c>
      <c r="K497" t="s">
        <v>121</v>
      </c>
      <c r="L497" s="5">
        <v>45901</v>
      </c>
      <c r="M497" s="7">
        <v>0.55208333333333337</v>
      </c>
      <c r="N497" s="7">
        <v>0.64930555555555558</v>
      </c>
      <c r="O497" t="s">
        <v>176</v>
      </c>
      <c r="P497" t="s">
        <v>93</v>
      </c>
      <c r="Q497">
        <v>130</v>
      </c>
      <c r="R497">
        <v>11</v>
      </c>
      <c r="S497" t="s">
        <v>94</v>
      </c>
      <c r="T497">
        <v>0</v>
      </c>
      <c r="U497" t="s">
        <v>95</v>
      </c>
      <c r="V497" t="s">
        <v>96</v>
      </c>
      <c r="W497">
        <v>2500</v>
      </c>
    </row>
    <row r="498" spans="1:23" x14ac:dyDescent="0.35">
      <c r="A498" t="s">
        <v>713</v>
      </c>
      <c r="B498" t="s">
        <v>231</v>
      </c>
      <c r="C498">
        <v>36</v>
      </c>
      <c r="D498" t="s">
        <v>11</v>
      </c>
      <c r="E498" t="s">
        <v>48</v>
      </c>
      <c r="F498" t="s">
        <v>637</v>
      </c>
      <c r="G498" t="s">
        <v>21</v>
      </c>
      <c r="H498" t="s">
        <v>14</v>
      </c>
      <c r="I498" t="s">
        <v>28</v>
      </c>
      <c r="J498" t="s">
        <v>90</v>
      </c>
      <c r="K498" t="s">
        <v>104</v>
      </c>
      <c r="L498" s="5">
        <v>45902</v>
      </c>
      <c r="M498" s="7">
        <v>0.41666666666666669</v>
      </c>
      <c r="N498" s="7">
        <v>0.76736111111111116</v>
      </c>
      <c r="O498" t="s">
        <v>99</v>
      </c>
      <c r="P498" t="s">
        <v>100</v>
      </c>
      <c r="Q498">
        <v>1600</v>
      </c>
      <c r="R498">
        <v>26.3</v>
      </c>
      <c r="S498" t="s">
        <v>101</v>
      </c>
      <c r="T498">
        <v>40</v>
      </c>
      <c r="U498" t="s">
        <v>107</v>
      </c>
      <c r="V498" t="s">
        <v>103</v>
      </c>
      <c r="W498">
        <v>11000</v>
      </c>
    </row>
    <row r="499" spans="1:23" x14ac:dyDescent="0.35">
      <c r="A499" t="s">
        <v>714</v>
      </c>
      <c r="B499" t="s">
        <v>639</v>
      </c>
      <c r="C499">
        <v>24</v>
      </c>
      <c r="D499" t="s">
        <v>18</v>
      </c>
      <c r="E499" t="s">
        <v>52</v>
      </c>
      <c r="F499" t="s">
        <v>640</v>
      </c>
      <c r="G499" t="s">
        <v>21</v>
      </c>
      <c r="H499" t="s">
        <v>22</v>
      </c>
      <c r="I499" t="s">
        <v>40</v>
      </c>
      <c r="J499" t="s">
        <v>97</v>
      </c>
      <c r="K499" t="s">
        <v>114</v>
      </c>
      <c r="L499" s="5">
        <v>45902</v>
      </c>
      <c r="M499" s="7">
        <v>0.23958333333333334</v>
      </c>
      <c r="N499" s="7">
        <v>0.70486111111111116</v>
      </c>
      <c r="O499" t="s">
        <v>641</v>
      </c>
      <c r="P499" t="s">
        <v>93</v>
      </c>
      <c r="Q499">
        <v>760</v>
      </c>
      <c r="R499">
        <v>16.8</v>
      </c>
      <c r="S499" t="s">
        <v>94</v>
      </c>
      <c r="T499">
        <v>0</v>
      </c>
      <c r="U499" t="s">
        <v>102</v>
      </c>
      <c r="V499" t="s">
        <v>96</v>
      </c>
      <c r="W499">
        <v>4200</v>
      </c>
    </row>
    <row r="500" spans="1:23" x14ac:dyDescent="0.35">
      <c r="A500" t="s">
        <v>715</v>
      </c>
      <c r="B500" t="s">
        <v>643</v>
      </c>
      <c r="C500">
        <v>38</v>
      </c>
      <c r="D500" t="s">
        <v>11</v>
      </c>
      <c r="E500" t="s">
        <v>37</v>
      </c>
      <c r="F500" t="s">
        <v>644</v>
      </c>
      <c r="G500" t="s">
        <v>21</v>
      </c>
      <c r="H500" t="s">
        <v>15</v>
      </c>
      <c r="I500" t="s">
        <v>34</v>
      </c>
      <c r="J500" t="s">
        <v>91</v>
      </c>
      <c r="K500" t="s">
        <v>109</v>
      </c>
      <c r="L500" s="5">
        <v>45903</v>
      </c>
      <c r="M500" s="7">
        <v>0.97916666666666663</v>
      </c>
      <c r="N500" s="7">
        <v>0.30555555555555558</v>
      </c>
      <c r="O500" t="s">
        <v>645</v>
      </c>
      <c r="P500" t="s">
        <v>100</v>
      </c>
      <c r="Q500">
        <v>1900</v>
      </c>
      <c r="R500">
        <v>28.2</v>
      </c>
      <c r="S500" t="s">
        <v>94</v>
      </c>
      <c r="T500">
        <v>0</v>
      </c>
      <c r="U500" t="s">
        <v>95</v>
      </c>
      <c r="V500" t="s">
        <v>103</v>
      </c>
      <c r="W500">
        <v>10500</v>
      </c>
    </row>
    <row r="501" spans="1:23" x14ac:dyDescent="0.35">
      <c r="A501" t="s">
        <v>716</v>
      </c>
      <c r="B501" t="s">
        <v>647</v>
      </c>
      <c r="C501">
        <v>30</v>
      </c>
      <c r="D501" t="s">
        <v>18</v>
      </c>
      <c r="E501" t="s">
        <v>12</v>
      </c>
      <c r="F501" s="3" t="s">
        <v>225</v>
      </c>
      <c r="G501" t="s">
        <v>13</v>
      </c>
      <c r="H501" t="s">
        <v>57</v>
      </c>
      <c r="I501" t="s">
        <v>15</v>
      </c>
      <c r="J501" t="s">
        <v>121</v>
      </c>
      <c r="K501" t="s">
        <v>91</v>
      </c>
      <c r="L501" s="5">
        <v>45903</v>
      </c>
      <c r="M501" s="7">
        <v>0.68055555555555558</v>
      </c>
      <c r="N501" s="7">
        <v>0.78125</v>
      </c>
      <c r="O501" t="s">
        <v>648</v>
      </c>
      <c r="P501" t="s">
        <v>93</v>
      </c>
      <c r="Q501">
        <v>140</v>
      </c>
      <c r="R501">
        <v>10.9</v>
      </c>
      <c r="S501" t="s">
        <v>111</v>
      </c>
      <c r="T501">
        <v>0</v>
      </c>
      <c r="U501" t="s">
        <v>102</v>
      </c>
      <c r="V501" t="s">
        <v>96</v>
      </c>
      <c r="W501">
        <v>1800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F1C8-D063-406A-81BF-C135777D5D4C}">
  <dimension ref="A1:X451"/>
  <sheetViews>
    <sheetView workbookViewId="0">
      <selection activeCell="E11" sqref="E11"/>
    </sheetView>
  </sheetViews>
  <sheetFormatPr defaultColWidth="15.90625" defaultRowHeight="14.5" x14ac:dyDescent="0.35"/>
  <cols>
    <col min="2" max="2" width="17.08984375" customWidth="1"/>
    <col min="3" max="3" width="5.81640625" customWidth="1"/>
    <col min="4" max="4" width="8.90625" customWidth="1"/>
    <col min="6" max="6" width="15.90625" style="11"/>
    <col min="8" max="8" width="17.6328125" customWidth="1"/>
    <col min="13" max="13" width="16.08984375" customWidth="1"/>
    <col min="17" max="17" width="17.453125" customWidth="1"/>
    <col min="18" max="18" width="19.453125" customWidth="1"/>
    <col min="21" max="21" width="17.36328125" customWidth="1"/>
    <col min="22" max="22" width="16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</row>
    <row r="2" spans="1:23" x14ac:dyDescent="0.35">
      <c r="A2" s="2" t="s">
        <v>9</v>
      </c>
      <c r="B2" s="2" t="s">
        <v>10</v>
      </c>
      <c r="C2" s="2">
        <v>34</v>
      </c>
      <c r="D2" s="2" t="s">
        <v>11</v>
      </c>
      <c r="E2" s="2" t="s">
        <v>12</v>
      </c>
      <c r="F2" s="10" t="s">
        <v>717</v>
      </c>
      <c r="G2" s="2" t="s">
        <v>13</v>
      </c>
      <c r="H2" s="2" t="s">
        <v>14</v>
      </c>
      <c r="I2" s="2" t="s">
        <v>15</v>
      </c>
      <c r="J2" s="2" t="s">
        <v>90</v>
      </c>
      <c r="K2" s="2" t="s">
        <v>91</v>
      </c>
      <c r="L2" s="6">
        <v>45659</v>
      </c>
      <c r="M2" s="8">
        <v>0.27083333333333331</v>
      </c>
      <c r="N2" s="8">
        <v>0.38541666666666669</v>
      </c>
      <c r="O2" s="2" t="s">
        <v>92</v>
      </c>
      <c r="P2" s="2" t="s">
        <v>93</v>
      </c>
      <c r="Q2" s="2">
        <v>145</v>
      </c>
      <c r="R2" s="2">
        <v>18.5</v>
      </c>
      <c r="S2" s="2" t="s">
        <v>94</v>
      </c>
      <c r="T2" s="2">
        <v>0</v>
      </c>
      <c r="U2" s="2" t="s">
        <v>95</v>
      </c>
      <c r="V2" s="2" t="s">
        <v>96</v>
      </c>
      <c r="W2" s="2">
        <v>2200</v>
      </c>
    </row>
    <row r="3" spans="1:23" x14ac:dyDescent="0.35">
      <c r="A3" s="2" t="s">
        <v>16</v>
      </c>
      <c r="B3" s="2" t="s">
        <v>17</v>
      </c>
      <c r="C3" s="2">
        <v>29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97</v>
      </c>
      <c r="K3" s="2" t="s">
        <v>98</v>
      </c>
      <c r="L3" s="6">
        <v>45660</v>
      </c>
      <c r="M3" s="8">
        <v>0.45833333333333331</v>
      </c>
      <c r="N3" s="8">
        <v>0.61458333333333337</v>
      </c>
      <c r="O3" s="2" t="s">
        <v>99</v>
      </c>
      <c r="P3" s="2" t="s">
        <v>100</v>
      </c>
      <c r="Q3" s="2">
        <v>860</v>
      </c>
      <c r="R3" s="2">
        <v>24</v>
      </c>
      <c r="S3" s="2" t="s">
        <v>101</v>
      </c>
      <c r="T3" s="2">
        <v>45</v>
      </c>
      <c r="U3" s="2" t="s">
        <v>102</v>
      </c>
      <c r="V3" s="2" t="s">
        <v>103</v>
      </c>
      <c r="W3" s="2">
        <v>8400</v>
      </c>
    </row>
    <row r="4" spans="1:23" x14ac:dyDescent="0.35">
      <c r="A4" s="2" t="s">
        <v>24</v>
      </c>
      <c r="B4" s="2" t="s">
        <v>25</v>
      </c>
      <c r="C4" s="2">
        <v>41</v>
      </c>
      <c r="D4" s="2" t="s">
        <v>11</v>
      </c>
      <c r="E4" s="2" t="s">
        <v>26</v>
      </c>
      <c r="F4" s="2" t="s">
        <v>27</v>
      </c>
      <c r="G4" s="2" t="s">
        <v>21</v>
      </c>
      <c r="H4" s="2" t="s">
        <v>15</v>
      </c>
      <c r="I4" s="2" t="s">
        <v>28</v>
      </c>
      <c r="J4" s="2" t="s">
        <v>91</v>
      </c>
      <c r="K4" s="2" t="s">
        <v>104</v>
      </c>
      <c r="L4" s="6">
        <v>45661</v>
      </c>
      <c r="M4" s="8">
        <v>5.5555555555555552E-2</v>
      </c>
      <c r="N4" s="8">
        <v>0.41319444444444442</v>
      </c>
      <c r="O4" s="2" t="s">
        <v>105</v>
      </c>
      <c r="P4" s="2" t="s">
        <v>106</v>
      </c>
      <c r="Q4" s="2">
        <v>2450</v>
      </c>
      <c r="R4" s="2">
        <v>30.2</v>
      </c>
      <c r="S4" s="2" t="s">
        <v>94</v>
      </c>
      <c r="T4" s="2">
        <v>0</v>
      </c>
      <c r="U4" s="2" t="s">
        <v>107</v>
      </c>
      <c r="V4" s="2" t="s">
        <v>96</v>
      </c>
      <c r="W4" s="2">
        <v>13200</v>
      </c>
    </row>
    <row r="5" spans="1:23" x14ac:dyDescent="0.35">
      <c r="A5" s="2" t="s">
        <v>29</v>
      </c>
      <c r="B5" s="2" t="s">
        <v>30</v>
      </c>
      <c r="C5" s="2">
        <v>25</v>
      </c>
      <c r="D5" s="2" t="s">
        <v>18</v>
      </c>
      <c r="E5" s="2" t="s">
        <v>31</v>
      </c>
      <c r="F5" s="2" t="s">
        <v>32</v>
      </c>
      <c r="G5" s="2" t="s">
        <v>21</v>
      </c>
      <c r="H5" s="2" t="s">
        <v>33</v>
      </c>
      <c r="I5" s="2" t="s">
        <v>34</v>
      </c>
      <c r="J5" s="2" t="s">
        <v>108</v>
      </c>
      <c r="K5" s="2" t="s">
        <v>109</v>
      </c>
      <c r="L5" s="6">
        <v>45662</v>
      </c>
      <c r="M5" s="8">
        <v>0.34027777777777779</v>
      </c>
      <c r="N5" s="8">
        <v>0.58333333333333337</v>
      </c>
      <c r="O5" s="2" t="s">
        <v>110</v>
      </c>
      <c r="P5" s="2" t="s">
        <v>93</v>
      </c>
      <c r="Q5" s="2">
        <v>420</v>
      </c>
      <c r="R5" s="2">
        <v>15.6</v>
      </c>
      <c r="S5" s="2" t="s">
        <v>111</v>
      </c>
      <c r="T5" s="2">
        <v>0</v>
      </c>
      <c r="U5" s="2" t="s">
        <v>95</v>
      </c>
      <c r="V5" s="2" t="s">
        <v>112</v>
      </c>
      <c r="W5" s="2">
        <v>3500</v>
      </c>
    </row>
    <row r="6" spans="1:23" x14ac:dyDescent="0.35">
      <c r="A6" s="2" t="s">
        <v>35</v>
      </c>
      <c r="B6" s="2" t="s">
        <v>36</v>
      </c>
      <c r="C6" s="2">
        <v>38</v>
      </c>
      <c r="D6" s="2" t="s">
        <v>11</v>
      </c>
      <c r="E6" s="2" t="s">
        <v>37</v>
      </c>
      <c r="F6" s="2" t="s">
        <v>38</v>
      </c>
      <c r="G6" s="2" t="s">
        <v>21</v>
      </c>
      <c r="H6" s="2" t="s">
        <v>39</v>
      </c>
      <c r="I6" s="2" t="s">
        <v>40</v>
      </c>
      <c r="J6" s="2" t="s">
        <v>113</v>
      </c>
      <c r="K6" s="2" t="s">
        <v>114</v>
      </c>
      <c r="L6" s="6">
        <v>45663</v>
      </c>
      <c r="M6" s="8">
        <v>0.91666666666666663</v>
      </c>
      <c r="N6" s="8">
        <v>0.57291666666666663</v>
      </c>
      <c r="O6" s="2" t="s">
        <v>115</v>
      </c>
      <c r="P6" s="2" t="s">
        <v>100</v>
      </c>
      <c r="Q6" s="2">
        <v>1980</v>
      </c>
      <c r="R6" s="2">
        <v>27.5</v>
      </c>
      <c r="S6" s="2" t="s">
        <v>94</v>
      </c>
      <c r="T6" s="2">
        <v>0</v>
      </c>
      <c r="U6" s="2" t="s">
        <v>102</v>
      </c>
      <c r="V6" s="2" t="s">
        <v>103</v>
      </c>
      <c r="W6" s="2">
        <v>9700</v>
      </c>
    </row>
    <row r="7" spans="1:23" x14ac:dyDescent="0.35">
      <c r="A7" s="2" t="s">
        <v>41</v>
      </c>
      <c r="B7" s="2" t="s">
        <v>42</v>
      </c>
      <c r="C7" s="2">
        <v>31</v>
      </c>
      <c r="D7" s="2" t="s">
        <v>18</v>
      </c>
      <c r="E7" s="2" t="s">
        <v>43</v>
      </c>
      <c r="F7" s="2" t="s">
        <v>44</v>
      </c>
      <c r="G7" s="2" t="s">
        <v>21</v>
      </c>
      <c r="H7" s="2" t="s">
        <v>15</v>
      </c>
      <c r="I7" s="2" t="s">
        <v>45</v>
      </c>
      <c r="J7" s="2" t="s">
        <v>91</v>
      </c>
      <c r="K7" s="2" t="s">
        <v>116</v>
      </c>
      <c r="L7" s="6">
        <v>45664</v>
      </c>
      <c r="M7" s="8">
        <v>0.15625</v>
      </c>
      <c r="N7" s="8">
        <v>0.47222222222222221</v>
      </c>
      <c r="O7" s="2" t="s">
        <v>117</v>
      </c>
      <c r="P7" s="2" t="s">
        <v>118</v>
      </c>
      <c r="Q7" s="2">
        <v>980</v>
      </c>
      <c r="R7" s="2">
        <v>19.3</v>
      </c>
      <c r="S7" s="2" t="s">
        <v>101</v>
      </c>
      <c r="T7" s="2">
        <v>30</v>
      </c>
      <c r="U7" s="2" t="s">
        <v>95</v>
      </c>
      <c r="V7" s="2" t="s">
        <v>96</v>
      </c>
      <c r="W7" s="2">
        <v>5400</v>
      </c>
    </row>
    <row r="8" spans="1:23" x14ac:dyDescent="0.35">
      <c r="A8" s="2" t="s">
        <v>46</v>
      </c>
      <c r="B8" s="2" t="s">
        <v>47</v>
      </c>
      <c r="C8" s="2">
        <v>45</v>
      </c>
      <c r="D8" s="2" t="s">
        <v>11</v>
      </c>
      <c r="E8" s="2" t="s">
        <v>48</v>
      </c>
      <c r="F8" s="2" t="s">
        <v>49</v>
      </c>
      <c r="G8" s="2" t="s">
        <v>21</v>
      </c>
      <c r="H8" s="2" t="s">
        <v>14</v>
      </c>
      <c r="I8" s="2" t="s">
        <v>28</v>
      </c>
      <c r="J8" s="2" t="s">
        <v>90</v>
      </c>
      <c r="K8" s="2" t="s">
        <v>104</v>
      </c>
      <c r="L8" s="6">
        <v>45665</v>
      </c>
      <c r="M8" s="8">
        <v>0.42708333333333331</v>
      </c>
      <c r="N8" s="8">
        <v>0.77083333333333337</v>
      </c>
      <c r="O8" s="2" t="s">
        <v>119</v>
      </c>
      <c r="P8" s="2" t="s">
        <v>100</v>
      </c>
      <c r="Q8" s="2">
        <v>1650</v>
      </c>
      <c r="R8" s="2">
        <v>26.8</v>
      </c>
      <c r="S8" s="2" t="s">
        <v>94</v>
      </c>
      <c r="T8" s="2">
        <v>0</v>
      </c>
      <c r="U8" s="2" t="s">
        <v>107</v>
      </c>
      <c r="V8" s="2" t="s">
        <v>103</v>
      </c>
      <c r="W8" s="2">
        <v>11000</v>
      </c>
    </row>
    <row r="9" spans="1:23" x14ac:dyDescent="0.35">
      <c r="A9" s="2" t="s">
        <v>50</v>
      </c>
      <c r="B9" s="2" t="s">
        <v>51</v>
      </c>
      <c r="C9" s="2">
        <v>27</v>
      </c>
      <c r="D9" s="2" t="s">
        <v>18</v>
      </c>
      <c r="E9" s="2" t="s">
        <v>52</v>
      </c>
      <c r="F9" s="2" t="s">
        <v>53</v>
      </c>
      <c r="G9" s="2" t="s">
        <v>21</v>
      </c>
      <c r="H9" s="2" t="s">
        <v>22</v>
      </c>
      <c r="I9" s="2" t="s">
        <v>40</v>
      </c>
      <c r="J9" s="2" t="s">
        <v>97</v>
      </c>
      <c r="K9" s="2" t="s">
        <v>114</v>
      </c>
      <c r="L9" s="6">
        <v>45666</v>
      </c>
      <c r="M9" s="8">
        <v>0.24305555555555555</v>
      </c>
      <c r="N9" s="8">
        <v>0.72222222222222221</v>
      </c>
      <c r="O9" s="2" t="s">
        <v>120</v>
      </c>
      <c r="P9" s="2" t="s">
        <v>93</v>
      </c>
      <c r="Q9" s="2">
        <v>740</v>
      </c>
      <c r="R9" s="2">
        <v>17.2</v>
      </c>
      <c r="S9" s="2" t="s">
        <v>111</v>
      </c>
      <c r="T9" s="2">
        <v>0</v>
      </c>
      <c r="U9" s="2" t="s">
        <v>95</v>
      </c>
      <c r="V9" s="2" t="s">
        <v>96</v>
      </c>
      <c r="W9" s="2">
        <v>4100</v>
      </c>
    </row>
    <row r="10" spans="1:23" x14ac:dyDescent="0.35">
      <c r="A10" s="2" t="s">
        <v>54</v>
      </c>
      <c r="B10" s="2" t="s">
        <v>55</v>
      </c>
      <c r="C10" s="2">
        <v>36</v>
      </c>
      <c r="D10" s="2" t="s">
        <v>11</v>
      </c>
      <c r="E10" s="2" t="s">
        <v>12</v>
      </c>
      <c r="F10" s="4" t="s">
        <v>56</v>
      </c>
      <c r="G10" s="2" t="s">
        <v>13</v>
      </c>
      <c r="H10" s="2" t="s">
        <v>57</v>
      </c>
      <c r="I10" s="2" t="s">
        <v>33</v>
      </c>
      <c r="J10" s="2" t="s">
        <v>121</v>
      </c>
      <c r="K10" s="2" t="s">
        <v>108</v>
      </c>
      <c r="L10" s="6">
        <v>45667</v>
      </c>
      <c r="M10" s="8">
        <v>0.60069444444444442</v>
      </c>
      <c r="N10" s="8">
        <v>0.71527777777777779</v>
      </c>
      <c r="O10" s="2" t="s">
        <v>122</v>
      </c>
      <c r="P10" s="2" t="s">
        <v>93</v>
      </c>
      <c r="Q10" s="2">
        <v>125</v>
      </c>
      <c r="R10" s="2">
        <v>12</v>
      </c>
      <c r="S10" s="2" t="s">
        <v>94</v>
      </c>
      <c r="T10" s="2">
        <v>0</v>
      </c>
      <c r="U10" s="2" t="s">
        <v>102</v>
      </c>
      <c r="V10" s="2" t="s">
        <v>103</v>
      </c>
      <c r="W10" s="2">
        <v>1800</v>
      </c>
    </row>
    <row r="11" spans="1:23" x14ac:dyDescent="0.35">
      <c r="A11" s="2" t="s">
        <v>58</v>
      </c>
      <c r="B11" s="2" t="s">
        <v>59</v>
      </c>
      <c r="C11" s="2">
        <v>30</v>
      </c>
      <c r="D11" s="2" t="s">
        <v>18</v>
      </c>
      <c r="E11" s="2" t="s">
        <v>19</v>
      </c>
      <c r="F11" s="2" t="s">
        <v>60</v>
      </c>
      <c r="G11" s="2" t="s">
        <v>13</v>
      </c>
      <c r="H11" s="2" t="s">
        <v>15</v>
      </c>
      <c r="I11" s="2" t="s">
        <v>14</v>
      </c>
      <c r="J11" s="2" t="s">
        <v>91</v>
      </c>
      <c r="K11" s="2" t="s">
        <v>90</v>
      </c>
      <c r="L11" s="6">
        <v>45668</v>
      </c>
      <c r="M11" s="8">
        <v>0.40277777777777779</v>
      </c>
      <c r="N11" s="8">
        <v>0.51736111111111116</v>
      </c>
      <c r="O11" s="2" t="s">
        <v>123</v>
      </c>
      <c r="P11" s="2" t="s">
        <v>118</v>
      </c>
      <c r="Q11" s="2">
        <v>310</v>
      </c>
      <c r="R11" s="2">
        <v>20.5</v>
      </c>
      <c r="S11" s="2" t="s">
        <v>101</v>
      </c>
      <c r="T11" s="2">
        <v>35</v>
      </c>
      <c r="U11" s="2" t="s">
        <v>95</v>
      </c>
      <c r="V11" s="2" t="s">
        <v>96</v>
      </c>
      <c r="W11" s="2">
        <v>6200</v>
      </c>
    </row>
    <row r="12" spans="1:23" x14ac:dyDescent="0.35">
      <c r="A12" s="2" t="s">
        <v>61</v>
      </c>
      <c r="B12" s="2" t="s">
        <v>62</v>
      </c>
      <c r="C12" s="2">
        <v>52</v>
      </c>
      <c r="D12" s="2" t="s">
        <v>11</v>
      </c>
      <c r="E12" s="2" t="s">
        <v>26</v>
      </c>
      <c r="F12" s="2" t="s">
        <v>63</v>
      </c>
      <c r="G12" s="2" t="s">
        <v>21</v>
      </c>
      <c r="H12" s="2" t="s">
        <v>22</v>
      </c>
      <c r="I12" s="2" t="s">
        <v>23</v>
      </c>
      <c r="J12" t="s">
        <v>97</v>
      </c>
      <c r="K12" t="s">
        <v>98</v>
      </c>
      <c r="L12" s="5">
        <v>45669</v>
      </c>
      <c r="M12" s="7">
        <v>0.96875</v>
      </c>
      <c r="N12" s="7">
        <v>0.12152777777777778</v>
      </c>
      <c r="O12" t="s">
        <v>124</v>
      </c>
      <c r="P12" t="s">
        <v>100</v>
      </c>
      <c r="Q12">
        <v>1200</v>
      </c>
      <c r="R12">
        <v>28</v>
      </c>
      <c r="S12" t="s">
        <v>94</v>
      </c>
      <c r="T12">
        <v>0</v>
      </c>
      <c r="U12" t="s">
        <v>107</v>
      </c>
      <c r="V12" t="s">
        <v>125</v>
      </c>
      <c r="W12">
        <v>14000</v>
      </c>
    </row>
    <row r="13" spans="1:23" x14ac:dyDescent="0.35">
      <c r="A13" s="2" t="s">
        <v>64</v>
      </c>
      <c r="B13" s="2" t="s">
        <v>65</v>
      </c>
      <c r="C13" s="2">
        <v>24</v>
      </c>
      <c r="D13" s="2" t="s">
        <v>18</v>
      </c>
      <c r="E13" s="2" t="s">
        <v>12</v>
      </c>
      <c r="F13" s="4" t="s">
        <v>66</v>
      </c>
      <c r="G13" s="2" t="s">
        <v>13</v>
      </c>
      <c r="H13" s="2" t="s">
        <v>39</v>
      </c>
      <c r="I13" s="2" t="s">
        <v>15</v>
      </c>
      <c r="J13" t="s">
        <v>113</v>
      </c>
      <c r="K13" t="s">
        <v>91</v>
      </c>
      <c r="L13" s="5">
        <v>45670</v>
      </c>
      <c r="M13" s="7">
        <v>0.25694444444444442</v>
      </c>
      <c r="N13" s="7">
        <v>0.3611111111111111</v>
      </c>
      <c r="O13" t="s">
        <v>126</v>
      </c>
      <c r="P13" t="s">
        <v>93</v>
      </c>
      <c r="Q13">
        <v>160</v>
      </c>
      <c r="R13">
        <v>10.4</v>
      </c>
      <c r="S13" t="s">
        <v>111</v>
      </c>
      <c r="T13">
        <v>0</v>
      </c>
      <c r="U13" t="s">
        <v>102</v>
      </c>
      <c r="V13" t="s">
        <v>112</v>
      </c>
      <c r="W13">
        <v>900</v>
      </c>
    </row>
    <row r="14" spans="1:23" x14ac:dyDescent="0.35">
      <c r="A14" s="2" t="s">
        <v>67</v>
      </c>
      <c r="B14" s="2" t="s">
        <v>68</v>
      </c>
      <c r="C14" s="2">
        <v>40</v>
      </c>
      <c r="D14" s="2" t="s">
        <v>11</v>
      </c>
      <c r="E14" s="2" t="s">
        <v>37</v>
      </c>
      <c r="F14" s="2" t="s">
        <v>69</v>
      </c>
      <c r="G14" s="2" t="s">
        <v>21</v>
      </c>
      <c r="H14" s="2" t="s">
        <v>33</v>
      </c>
      <c r="I14" s="2" t="s">
        <v>34</v>
      </c>
      <c r="J14" t="s">
        <v>108</v>
      </c>
      <c r="K14" t="s">
        <v>109</v>
      </c>
      <c r="L14" s="5">
        <v>45671</v>
      </c>
      <c r="M14" s="7">
        <v>0.84722222222222221</v>
      </c>
      <c r="N14" s="7">
        <v>9.0277777777777776E-2</v>
      </c>
      <c r="O14" t="s">
        <v>127</v>
      </c>
      <c r="P14" t="s">
        <v>100</v>
      </c>
      <c r="Q14">
        <v>1340</v>
      </c>
      <c r="R14">
        <v>22.6</v>
      </c>
      <c r="S14" t="s">
        <v>94</v>
      </c>
      <c r="T14">
        <v>0</v>
      </c>
      <c r="U14" t="s">
        <v>95</v>
      </c>
      <c r="V14" t="s">
        <v>103</v>
      </c>
      <c r="W14">
        <v>8700</v>
      </c>
    </row>
    <row r="15" spans="1:23" x14ac:dyDescent="0.35">
      <c r="A15" t="s">
        <v>70</v>
      </c>
      <c r="B15" t="s">
        <v>71</v>
      </c>
      <c r="C15">
        <v>33</v>
      </c>
      <c r="D15" t="s">
        <v>18</v>
      </c>
      <c r="E15" t="s">
        <v>43</v>
      </c>
      <c r="F15" t="s">
        <v>72</v>
      </c>
      <c r="G15" t="s">
        <v>21</v>
      </c>
      <c r="H15" t="s">
        <v>15</v>
      </c>
      <c r="I15" t="s">
        <v>40</v>
      </c>
      <c r="J15" t="s">
        <v>91</v>
      </c>
      <c r="K15" t="s">
        <v>114</v>
      </c>
      <c r="L15" s="5">
        <v>45672</v>
      </c>
      <c r="M15" s="7">
        <v>0.11805555555555555</v>
      </c>
      <c r="N15" s="7">
        <v>0.64583333333333337</v>
      </c>
      <c r="O15" t="s">
        <v>128</v>
      </c>
      <c r="P15" t="s">
        <v>106</v>
      </c>
      <c r="Q15">
        <v>2600</v>
      </c>
      <c r="R15">
        <v>31.4</v>
      </c>
      <c r="S15" t="s">
        <v>101</v>
      </c>
      <c r="T15">
        <v>90</v>
      </c>
      <c r="U15" t="s">
        <v>107</v>
      </c>
      <c r="V15" t="s">
        <v>96</v>
      </c>
      <c r="W15">
        <v>15000</v>
      </c>
    </row>
    <row r="16" spans="1:23" x14ac:dyDescent="0.35">
      <c r="A16" t="s">
        <v>73</v>
      </c>
      <c r="B16" t="s">
        <v>74</v>
      </c>
      <c r="C16">
        <v>47</v>
      </c>
      <c r="D16" t="s">
        <v>11</v>
      </c>
      <c r="E16" t="s">
        <v>19</v>
      </c>
      <c r="F16" t="s">
        <v>75</v>
      </c>
      <c r="G16" t="s">
        <v>21</v>
      </c>
      <c r="H16" t="s">
        <v>14</v>
      </c>
      <c r="I16" t="s">
        <v>23</v>
      </c>
      <c r="J16" t="s">
        <v>90</v>
      </c>
      <c r="K16" t="s">
        <v>98</v>
      </c>
      <c r="L16" s="5">
        <v>45673</v>
      </c>
      <c r="M16" s="7">
        <v>0.54513888888888884</v>
      </c>
      <c r="N16" s="7">
        <v>0.71875</v>
      </c>
      <c r="O16" t="s">
        <v>129</v>
      </c>
      <c r="P16" t="s">
        <v>93</v>
      </c>
      <c r="Q16">
        <v>390</v>
      </c>
      <c r="R16">
        <v>16.100000000000001</v>
      </c>
      <c r="S16" t="s">
        <v>94</v>
      </c>
      <c r="T16">
        <v>0</v>
      </c>
      <c r="U16" t="s">
        <v>95</v>
      </c>
      <c r="V16" t="s">
        <v>103</v>
      </c>
      <c r="W16">
        <v>3000</v>
      </c>
    </row>
    <row r="17" spans="1:23" x14ac:dyDescent="0.35">
      <c r="A17" t="s">
        <v>130</v>
      </c>
      <c r="B17" t="s">
        <v>131</v>
      </c>
      <c r="C17">
        <v>28</v>
      </c>
      <c r="D17" t="s">
        <v>18</v>
      </c>
      <c r="E17" t="s">
        <v>52</v>
      </c>
      <c r="F17" t="s">
        <v>132</v>
      </c>
      <c r="G17" t="s">
        <v>21</v>
      </c>
      <c r="H17" t="s">
        <v>33</v>
      </c>
      <c r="I17" t="s">
        <v>28</v>
      </c>
      <c r="J17" t="s">
        <v>108</v>
      </c>
      <c r="K17" t="s">
        <v>104</v>
      </c>
      <c r="L17" s="5">
        <v>45674</v>
      </c>
      <c r="M17" s="7">
        <v>0.32291666666666669</v>
      </c>
      <c r="N17" s="7">
        <v>0.75694444444444442</v>
      </c>
      <c r="O17" t="s">
        <v>133</v>
      </c>
      <c r="P17" t="s">
        <v>118</v>
      </c>
      <c r="Q17">
        <v>980</v>
      </c>
      <c r="R17">
        <v>21</v>
      </c>
      <c r="S17" t="s">
        <v>111</v>
      </c>
      <c r="T17">
        <v>0</v>
      </c>
      <c r="U17" t="s">
        <v>102</v>
      </c>
      <c r="V17" t="s">
        <v>96</v>
      </c>
      <c r="W17">
        <v>7200</v>
      </c>
    </row>
    <row r="18" spans="1:23" x14ac:dyDescent="0.35">
      <c r="A18" t="s">
        <v>134</v>
      </c>
      <c r="B18" t="s">
        <v>135</v>
      </c>
      <c r="C18">
        <v>39</v>
      </c>
      <c r="D18" t="s">
        <v>11</v>
      </c>
      <c r="E18" t="s">
        <v>12</v>
      </c>
      <c r="F18" s="3" t="s">
        <v>136</v>
      </c>
      <c r="G18" t="s">
        <v>13</v>
      </c>
      <c r="H18" t="s">
        <v>15</v>
      </c>
      <c r="I18" t="s">
        <v>22</v>
      </c>
      <c r="J18" t="s">
        <v>91</v>
      </c>
      <c r="K18" t="s">
        <v>97</v>
      </c>
      <c r="L18" s="5">
        <v>45675</v>
      </c>
      <c r="M18" s="7">
        <v>0.47916666666666669</v>
      </c>
      <c r="N18" s="7">
        <v>0.56944444444444442</v>
      </c>
      <c r="O18" t="s">
        <v>137</v>
      </c>
      <c r="P18" t="s">
        <v>93</v>
      </c>
      <c r="Q18">
        <v>110</v>
      </c>
      <c r="R18">
        <v>8.6</v>
      </c>
      <c r="S18" t="s">
        <v>94</v>
      </c>
      <c r="T18">
        <v>0</v>
      </c>
      <c r="U18" t="s">
        <v>95</v>
      </c>
      <c r="V18" t="s">
        <v>103</v>
      </c>
      <c r="W18">
        <v>1500</v>
      </c>
    </row>
    <row r="19" spans="1:23" x14ac:dyDescent="0.35">
      <c r="A19" t="s">
        <v>138</v>
      </c>
      <c r="B19" t="s">
        <v>139</v>
      </c>
      <c r="C19">
        <v>26</v>
      </c>
      <c r="D19" t="s">
        <v>18</v>
      </c>
      <c r="E19" t="s">
        <v>19</v>
      </c>
      <c r="F19" t="s">
        <v>140</v>
      </c>
      <c r="G19" t="s">
        <v>13</v>
      </c>
      <c r="H19" t="s">
        <v>57</v>
      </c>
      <c r="I19" t="s">
        <v>39</v>
      </c>
      <c r="J19" t="s">
        <v>121</v>
      </c>
      <c r="K19" t="s">
        <v>113</v>
      </c>
      <c r="L19" s="5">
        <v>45676</v>
      </c>
      <c r="M19" s="7">
        <v>0.66666666666666663</v>
      </c>
      <c r="N19" s="7">
        <v>0.76736111111111116</v>
      </c>
      <c r="O19" t="s">
        <v>141</v>
      </c>
      <c r="P19" t="s">
        <v>93</v>
      </c>
      <c r="Q19">
        <v>140</v>
      </c>
      <c r="R19">
        <v>11.2</v>
      </c>
      <c r="S19" t="s">
        <v>101</v>
      </c>
      <c r="T19">
        <v>20</v>
      </c>
      <c r="U19" t="s">
        <v>95</v>
      </c>
      <c r="V19" t="s">
        <v>96</v>
      </c>
      <c r="W19">
        <v>2700</v>
      </c>
    </row>
    <row r="20" spans="1:23" x14ac:dyDescent="0.35">
      <c r="A20" t="s">
        <v>142</v>
      </c>
      <c r="B20" t="s">
        <v>143</v>
      </c>
      <c r="C20">
        <v>50</v>
      </c>
      <c r="D20" t="s">
        <v>11</v>
      </c>
      <c r="E20" t="s">
        <v>26</v>
      </c>
      <c r="F20" t="s">
        <v>144</v>
      </c>
      <c r="G20" t="s">
        <v>21</v>
      </c>
      <c r="H20" t="s">
        <v>14</v>
      </c>
      <c r="I20" t="s">
        <v>34</v>
      </c>
      <c r="J20" t="s">
        <v>90</v>
      </c>
      <c r="K20" t="s">
        <v>109</v>
      </c>
      <c r="L20" s="5">
        <v>45677</v>
      </c>
      <c r="M20" s="7">
        <v>0.88194444444444442</v>
      </c>
      <c r="N20" s="7">
        <v>0.2013888888888889</v>
      </c>
      <c r="O20" t="s">
        <v>145</v>
      </c>
      <c r="P20" t="s">
        <v>100</v>
      </c>
      <c r="Q20">
        <v>1450</v>
      </c>
      <c r="R20">
        <v>25.9</v>
      </c>
      <c r="S20" t="s">
        <v>94</v>
      </c>
      <c r="T20">
        <v>0</v>
      </c>
      <c r="U20" t="s">
        <v>107</v>
      </c>
      <c r="V20" t="s">
        <v>125</v>
      </c>
      <c r="W20">
        <v>11800</v>
      </c>
    </row>
    <row r="21" spans="1:23" x14ac:dyDescent="0.35">
      <c r="A21" t="s">
        <v>146</v>
      </c>
      <c r="B21" t="s">
        <v>147</v>
      </c>
      <c r="C21">
        <v>23</v>
      </c>
      <c r="D21" t="s">
        <v>18</v>
      </c>
      <c r="E21" t="s">
        <v>31</v>
      </c>
      <c r="F21" t="s">
        <v>148</v>
      </c>
      <c r="G21" t="s">
        <v>21</v>
      </c>
      <c r="H21" t="s">
        <v>15</v>
      </c>
      <c r="I21" t="s">
        <v>23</v>
      </c>
      <c r="J21" t="s">
        <v>91</v>
      </c>
      <c r="K21" t="s">
        <v>98</v>
      </c>
      <c r="L21" s="5">
        <v>45678</v>
      </c>
      <c r="M21" s="7">
        <v>0.18402777777777779</v>
      </c>
      <c r="N21" s="7">
        <v>0.33333333333333331</v>
      </c>
      <c r="O21" t="s">
        <v>149</v>
      </c>
      <c r="P21" t="s">
        <v>93</v>
      </c>
      <c r="Q21">
        <v>330</v>
      </c>
      <c r="R21">
        <v>13.5</v>
      </c>
      <c r="S21" t="s">
        <v>111</v>
      </c>
      <c r="T21">
        <v>0</v>
      </c>
      <c r="U21" t="s">
        <v>102</v>
      </c>
      <c r="V21" t="s">
        <v>112</v>
      </c>
      <c r="W21">
        <v>2100</v>
      </c>
    </row>
    <row r="22" spans="1:23" x14ac:dyDescent="0.35">
      <c r="A22" t="s">
        <v>150</v>
      </c>
      <c r="B22" t="s">
        <v>151</v>
      </c>
      <c r="C22">
        <v>42</v>
      </c>
      <c r="D22" t="s">
        <v>11</v>
      </c>
      <c r="E22" t="s">
        <v>12</v>
      </c>
      <c r="F22" s="11" t="s">
        <v>718</v>
      </c>
      <c r="G22" t="s">
        <v>13</v>
      </c>
      <c r="H22" t="s">
        <v>22</v>
      </c>
      <c r="I22" t="s">
        <v>57</v>
      </c>
      <c r="J22" t="s">
        <v>97</v>
      </c>
      <c r="K22" t="s">
        <v>121</v>
      </c>
      <c r="L22" s="5">
        <v>45689</v>
      </c>
      <c r="M22" s="7">
        <v>0.34027777777777779</v>
      </c>
      <c r="N22" s="7">
        <v>0.44791666666666669</v>
      </c>
      <c r="O22" t="s">
        <v>152</v>
      </c>
      <c r="P22" t="s">
        <v>93</v>
      </c>
      <c r="Q22">
        <v>130</v>
      </c>
      <c r="R22">
        <v>12.5</v>
      </c>
      <c r="S22" t="s">
        <v>94</v>
      </c>
      <c r="T22">
        <v>0</v>
      </c>
      <c r="U22" t="s">
        <v>95</v>
      </c>
      <c r="V22" t="s">
        <v>96</v>
      </c>
      <c r="W22">
        <v>2000</v>
      </c>
    </row>
    <row r="23" spans="1:23" x14ac:dyDescent="0.35">
      <c r="A23" t="s">
        <v>153</v>
      </c>
      <c r="B23" t="s">
        <v>154</v>
      </c>
      <c r="C23">
        <v>35</v>
      </c>
      <c r="D23" t="s">
        <v>18</v>
      </c>
      <c r="E23" t="s">
        <v>19</v>
      </c>
      <c r="F23" t="s">
        <v>155</v>
      </c>
      <c r="G23" t="s">
        <v>21</v>
      </c>
      <c r="H23" t="s">
        <v>15</v>
      </c>
      <c r="I23" t="s">
        <v>28</v>
      </c>
      <c r="J23" t="s">
        <v>91</v>
      </c>
      <c r="K23" t="s">
        <v>104</v>
      </c>
      <c r="L23" s="5">
        <v>45689</v>
      </c>
      <c r="M23" s="7">
        <v>5.5555555555555552E-2</v>
      </c>
      <c r="N23" s="7">
        <v>0.40277777777777779</v>
      </c>
      <c r="O23" t="s">
        <v>156</v>
      </c>
      <c r="P23" t="s">
        <v>100</v>
      </c>
      <c r="Q23">
        <v>1750</v>
      </c>
      <c r="R23">
        <v>25</v>
      </c>
      <c r="S23" t="s">
        <v>101</v>
      </c>
      <c r="T23">
        <v>40</v>
      </c>
      <c r="U23" t="s">
        <v>107</v>
      </c>
      <c r="V23" t="s">
        <v>103</v>
      </c>
      <c r="W23">
        <v>11200</v>
      </c>
    </row>
    <row r="24" spans="1:23" x14ac:dyDescent="0.35">
      <c r="A24" t="s">
        <v>157</v>
      </c>
      <c r="B24" t="s">
        <v>158</v>
      </c>
      <c r="C24">
        <v>44</v>
      </c>
      <c r="D24" t="s">
        <v>11</v>
      </c>
      <c r="E24" t="s">
        <v>26</v>
      </c>
      <c r="F24" t="s">
        <v>159</v>
      </c>
      <c r="G24" t="s">
        <v>21</v>
      </c>
      <c r="H24" t="s">
        <v>22</v>
      </c>
      <c r="I24" t="s">
        <v>23</v>
      </c>
      <c r="J24" t="s">
        <v>97</v>
      </c>
      <c r="K24" t="s">
        <v>98</v>
      </c>
      <c r="L24" s="5">
        <v>45690</v>
      </c>
      <c r="M24" s="7">
        <v>0.97916666666666663</v>
      </c>
      <c r="N24" s="7">
        <v>9.0277777777777776E-2</v>
      </c>
      <c r="O24" t="s">
        <v>160</v>
      </c>
      <c r="P24" t="s">
        <v>93</v>
      </c>
      <c r="Q24">
        <v>420</v>
      </c>
      <c r="R24">
        <v>18</v>
      </c>
      <c r="S24" t="s">
        <v>94</v>
      </c>
      <c r="T24">
        <v>0</v>
      </c>
      <c r="U24" t="s">
        <v>102</v>
      </c>
      <c r="V24" t="s">
        <v>96</v>
      </c>
      <c r="W24">
        <v>3200</v>
      </c>
    </row>
    <row r="25" spans="1:23" x14ac:dyDescent="0.35">
      <c r="A25" t="s">
        <v>161</v>
      </c>
      <c r="B25" t="s">
        <v>162</v>
      </c>
      <c r="C25">
        <v>31</v>
      </c>
      <c r="D25" t="s">
        <v>18</v>
      </c>
      <c r="E25" t="s">
        <v>31</v>
      </c>
      <c r="F25" t="s">
        <v>163</v>
      </c>
      <c r="G25" t="s">
        <v>21</v>
      </c>
      <c r="H25" t="s">
        <v>39</v>
      </c>
      <c r="I25" t="s">
        <v>34</v>
      </c>
      <c r="J25" t="s">
        <v>113</v>
      </c>
      <c r="K25" t="s">
        <v>109</v>
      </c>
      <c r="L25" s="5">
        <v>45690</v>
      </c>
      <c r="M25" s="7">
        <v>0.38541666666666669</v>
      </c>
      <c r="N25" s="7">
        <v>0.64583333333333337</v>
      </c>
      <c r="O25" t="s">
        <v>164</v>
      </c>
      <c r="P25" t="s">
        <v>118</v>
      </c>
      <c r="Q25">
        <v>780</v>
      </c>
      <c r="R25">
        <v>20.2</v>
      </c>
      <c r="S25" t="s">
        <v>101</v>
      </c>
      <c r="T25">
        <v>55</v>
      </c>
      <c r="U25" t="s">
        <v>95</v>
      </c>
      <c r="V25" t="s">
        <v>112</v>
      </c>
      <c r="W25">
        <v>6100</v>
      </c>
    </row>
    <row r="26" spans="1:23" x14ac:dyDescent="0.35">
      <c r="A26" t="s">
        <v>165</v>
      </c>
      <c r="B26" t="s">
        <v>166</v>
      </c>
      <c r="C26">
        <v>37</v>
      </c>
      <c r="D26" t="s">
        <v>11</v>
      </c>
      <c r="E26" t="s">
        <v>43</v>
      </c>
      <c r="F26" t="s">
        <v>167</v>
      </c>
      <c r="G26" t="s">
        <v>21</v>
      </c>
      <c r="H26" t="s">
        <v>15</v>
      </c>
      <c r="I26" t="s">
        <v>45</v>
      </c>
      <c r="J26" t="s">
        <v>91</v>
      </c>
      <c r="K26" t="s">
        <v>116</v>
      </c>
      <c r="L26" s="5">
        <v>45691</v>
      </c>
      <c r="M26" s="7">
        <v>0.15972222222222221</v>
      </c>
      <c r="N26" s="7">
        <v>0.46527777777777779</v>
      </c>
      <c r="O26" t="s">
        <v>168</v>
      </c>
      <c r="P26" t="s">
        <v>100</v>
      </c>
      <c r="Q26">
        <v>1400</v>
      </c>
      <c r="R26">
        <v>23.5</v>
      </c>
      <c r="S26" t="s">
        <v>94</v>
      </c>
      <c r="T26">
        <v>0</v>
      </c>
      <c r="U26" t="s">
        <v>107</v>
      </c>
      <c r="V26" t="s">
        <v>103</v>
      </c>
      <c r="W26">
        <v>9200</v>
      </c>
    </row>
    <row r="27" spans="1:23" x14ac:dyDescent="0.35">
      <c r="A27" t="s">
        <v>169</v>
      </c>
      <c r="B27" t="s">
        <v>170</v>
      </c>
      <c r="C27">
        <v>28</v>
      </c>
      <c r="D27" t="s">
        <v>18</v>
      </c>
      <c r="E27" t="s">
        <v>52</v>
      </c>
      <c r="F27" t="s">
        <v>171</v>
      </c>
      <c r="G27" t="s">
        <v>21</v>
      </c>
      <c r="H27" t="s">
        <v>22</v>
      </c>
      <c r="I27" t="s">
        <v>40</v>
      </c>
      <c r="J27" t="s">
        <v>97</v>
      </c>
      <c r="K27" t="s">
        <v>114</v>
      </c>
      <c r="L27" s="5">
        <v>45691</v>
      </c>
      <c r="M27" s="7">
        <v>0.27777777777777779</v>
      </c>
      <c r="N27" s="7">
        <v>0.74652777777777779</v>
      </c>
      <c r="O27" t="s">
        <v>172</v>
      </c>
      <c r="P27" t="s">
        <v>93</v>
      </c>
      <c r="Q27">
        <v>760</v>
      </c>
      <c r="R27">
        <v>16.8</v>
      </c>
      <c r="S27" t="s">
        <v>111</v>
      </c>
      <c r="T27">
        <v>0</v>
      </c>
      <c r="U27" t="s">
        <v>95</v>
      </c>
      <c r="V27" t="s">
        <v>96</v>
      </c>
      <c r="W27">
        <v>4100</v>
      </c>
    </row>
    <row r="28" spans="1:23" x14ac:dyDescent="0.35">
      <c r="A28" t="s">
        <v>173</v>
      </c>
      <c r="B28" t="s">
        <v>174</v>
      </c>
      <c r="C28">
        <v>49</v>
      </c>
      <c r="D28" t="s">
        <v>11</v>
      </c>
      <c r="E28" t="s">
        <v>12</v>
      </c>
      <c r="F28" s="3" t="s">
        <v>175</v>
      </c>
      <c r="G28" t="s">
        <v>13</v>
      </c>
      <c r="H28" t="s">
        <v>15</v>
      </c>
      <c r="I28" t="s">
        <v>33</v>
      </c>
      <c r="J28" t="s">
        <v>91</v>
      </c>
      <c r="K28" t="s">
        <v>108</v>
      </c>
      <c r="L28" s="5">
        <v>45692</v>
      </c>
      <c r="M28" s="7">
        <v>0.47222222222222221</v>
      </c>
      <c r="N28" s="7">
        <v>0.56944444444444442</v>
      </c>
      <c r="O28" t="s">
        <v>176</v>
      </c>
      <c r="P28" t="s">
        <v>93</v>
      </c>
      <c r="Q28">
        <v>120</v>
      </c>
      <c r="R28">
        <v>9.1999999999999993</v>
      </c>
      <c r="S28" t="s">
        <v>94</v>
      </c>
      <c r="T28">
        <v>0</v>
      </c>
      <c r="U28" t="s">
        <v>102</v>
      </c>
      <c r="V28" t="s">
        <v>103</v>
      </c>
      <c r="W28">
        <v>1800</v>
      </c>
    </row>
    <row r="29" spans="1:23" x14ac:dyDescent="0.35">
      <c r="A29" t="s">
        <v>177</v>
      </c>
      <c r="B29" t="s">
        <v>178</v>
      </c>
      <c r="C29">
        <v>26</v>
      </c>
      <c r="D29" t="s">
        <v>18</v>
      </c>
      <c r="E29" t="s">
        <v>19</v>
      </c>
      <c r="F29" t="s">
        <v>179</v>
      </c>
      <c r="G29" t="s">
        <v>13</v>
      </c>
      <c r="H29" t="s">
        <v>57</v>
      </c>
      <c r="I29" t="s">
        <v>39</v>
      </c>
      <c r="J29" t="s">
        <v>121</v>
      </c>
      <c r="K29" t="s">
        <v>113</v>
      </c>
      <c r="L29" s="5">
        <v>45692</v>
      </c>
      <c r="M29" s="7">
        <v>0.63194444444444442</v>
      </c>
      <c r="N29" s="7">
        <v>0.73263888888888884</v>
      </c>
      <c r="O29" t="s">
        <v>180</v>
      </c>
      <c r="P29" t="s">
        <v>93</v>
      </c>
      <c r="Q29">
        <v>140</v>
      </c>
      <c r="R29">
        <v>11</v>
      </c>
      <c r="S29" t="s">
        <v>101</v>
      </c>
      <c r="T29">
        <v>25</v>
      </c>
      <c r="U29" t="s">
        <v>95</v>
      </c>
      <c r="V29" t="s">
        <v>96</v>
      </c>
      <c r="W29">
        <v>2500</v>
      </c>
    </row>
    <row r="30" spans="1:23" x14ac:dyDescent="0.35">
      <c r="A30" t="s">
        <v>181</v>
      </c>
      <c r="B30" t="s">
        <v>182</v>
      </c>
      <c r="C30">
        <v>33</v>
      </c>
      <c r="D30" t="s">
        <v>11</v>
      </c>
      <c r="E30" t="s">
        <v>37</v>
      </c>
      <c r="F30" t="s">
        <v>38</v>
      </c>
      <c r="G30" t="s">
        <v>21</v>
      </c>
      <c r="H30" t="s">
        <v>33</v>
      </c>
      <c r="I30" t="s">
        <v>34</v>
      </c>
      <c r="J30" t="s">
        <v>108</v>
      </c>
      <c r="K30" t="s">
        <v>109</v>
      </c>
      <c r="L30" s="5">
        <v>45693</v>
      </c>
      <c r="M30" s="7">
        <v>0.85416666666666663</v>
      </c>
      <c r="N30" s="7">
        <v>9.7222222222222224E-2</v>
      </c>
      <c r="O30" t="s">
        <v>183</v>
      </c>
      <c r="P30" t="s">
        <v>100</v>
      </c>
      <c r="Q30">
        <v>1350</v>
      </c>
      <c r="R30">
        <v>24</v>
      </c>
      <c r="S30" t="s">
        <v>94</v>
      </c>
      <c r="T30">
        <v>0</v>
      </c>
      <c r="U30" t="s">
        <v>102</v>
      </c>
      <c r="V30" t="s">
        <v>103</v>
      </c>
      <c r="W30">
        <v>8800</v>
      </c>
    </row>
    <row r="31" spans="1:23" x14ac:dyDescent="0.35">
      <c r="A31" t="s">
        <v>184</v>
      </c>
      <c r="B31" t="s">
        <v>185</v>
      </c>
      <c r="C31">
        <v>29</v>
      </c>
      <c r="D31" t="s">
        <v>18</v>
      </c>
      <c r="E31" t="s">
        <v>48</v>
      </c>
      <c r="F31" t="s">
        <v>186</v>
      </c>
      <c r="G31" t="s">
        <v>21</v>
      </c>
      <c r="H31" t="s">
        <v>14</v>
      </c>
      <c r="I31" t="s">
        <v>28</v>
      </c>
      <c r="J31" t="s">
        <v>90</v>
      </c>
      <c r="K31" t="s">
        <v>104</v>
      </c>
      <c r="L31" s="5">
        <v>45693</v>
      </c>
      <c r="M31" s="7">
        <v>0.4201388888888889</v>
      </c>
      <c r="N31" s="7">
        <v>0.76041666666666663</v>
      </c>
      <c r="O31" t="s">
        <v>187</v>
      </c>
      <c r="P31" t="s">
        <v>118</v>
      </c>
      <c r="Q31">
        <v>980</v>
      </c>
      <c r="R31">
        <v>19.5</v>
      </c>
      <c r="S31" t="s">
        <v>111</v>
      </c>
      <c r="T31">
        <v>0</v>
      </c>
      <c r="U31" t="s">
        <v>107</v>
      </c>
      <c r="V31" t="s">
        <v>96</v>
      </c>
      <c r="W31">
        <v>5400</v>
      </c>
    </row>
    <row r="32" spans="1:23" x14ac:dyDescent="0.35">
      <c r="A32" t="s">
        <v>188</v>
      </c>
      <c r="B32" t="s">
        <v>189</v>
      </c>
      <c r="C32">
        <v>41</v>
      </c>
      <c r="D32" t="s">
        <v>11</v>
      </c>
      <c r="E32" t="s">
        <v>26</v>
      </c>
      <c r="F32" t="s">
        <v>190</v>
      </c>
      <c r="G32" t="s">
        <v>21</v>
      </c>
      <c r="H32" t="s">
        <v>22</v>
      </c>
      <c r="I32" t="s">
        <v>23</v>
      </c>
      <c r="J32" t="s">
        <v>97</v>
      </c>
      <c r="K32" t="s">
        <v>98</v>
      </c>
      <c r="L32" s="5">
        <v>45694</v>
      </c>
      <c r="M32" s="7">
        <v>0.96527777777777779</v>
      </c>
      <c r="N32" s="7">
        <v>0.11805555555555555</v>
      </c>
      <c r="O32" t="s">
        <v>191</v>
      </c>
      <c r="P32" t="s">
        <v>100</v>
      </c>
      <c r="Q32">
        <v>1250</v>
      </c>
      <c r="R32">
        <v>27</v>
      </c>
      <c r="S32" t="s">
        <v>94</v>
      </c>
      <c r="T32">
        <v>0</v>
      </c>
      <c r="U32" t="s">
        <v>95</v>
      </c>
      <c r="V32" t="s">
        <v>125</v>
      </c>
      <c r="W32">
        <v>13500</v>
      </c>
    </row>
    <row r="33" spans="1:23" x14ac:dyDescent="0.35">
      <c r="A33" t="s">
        <v>192</v>
      </c>
      <c r="B33" t="s">
        <v>193</v>
      </c>
      <c r="C33">
        <v>27</v>
      </c>
      <c r="D33" t="s">
        <v>18</v>
      </c>
      <c r="E33" t="s">
        <v>12</v>
      </c>
      <c r="F33" s="3" t="s">
        <v>194</v>
      </c>
      <c r="G33" t="s">
        <v>13</v>
      </c>
      <c r="H33" t="s">
        <v>15</v>
      </c>
      <c r="I33" t="s">
        <v>14</v>
      </c>
      <c r="J33" t="s">
        <v>91</v>
      </c>
      <c r="K33" t="s">
        <v>90</v>
      </c>
      <c r="L33" s="5">
        <v>45694</v>
      </c>
      <c r="M33" s="7">
        <v>0.3125</v>
      </c>
      <c r="N33" s="7">
        <v>0.4201388888888889</v>
      </c>
      <c r="O33" t="s">
        <v>195</v>
      </c>
      <c r="P33" t="s">
        <v>93</v>
      </c>
      <c r="Q33">
        <v>135</v>
      </c>
      <c r="R33">
        <v>10</v>
      </c>
      <c r="S33" t="s">
        <v>101</v>
      </c>
      <c r="T33">
        <v>20</v>
      </c>
      <c r="U33" t="s">
        <v>102</v>
      </c>
      <c r="V33" t="s">
        <v>112</v>
      </c>
      <c r="W33">
        <v>3100</v>
      </c>
    </row>
    <row r="34" spans="1:23" x14ac:dyDescent="0.35">
      <c r="A34" t="s">
        <v>196</v>
      </c>
      <c r="B34" t="s">
        <v>197</v>
      </c>
      <c r="C34">
        <v>38</v>
      </c>
      <c r="D34" t="s">
        <v>11</v>
      </c>
      <c r="E34" t="s">
        <v>19</v>
      </c>
      <c r="F34" t="s">
        <v>198</v>
      </c>
      <c r="G34" t="s">
        <v>21</v>
      </c>
      <c r="H34" t="s">
        <v>22</v>
      </c>
      <c r="I34" t="s">
        <v>40</v>
      </c>
      <c r="J34" t="s">
        <v>97</v>
      </c>
      <c r="K34" t="s">
        <v>114</v>
      </c>
      <c r="L34" s="5">
        <v>45695</v>
      </c>
      <c r="M34" s="7">
        <v>9.375E-2</v>
      </c>
      <c r="N34" s="7">
        <v>0.60416666666666663</v>
      </c>
      <c r="O34" t="s">
        <v>199</v>
      </c>
      <c r="P34" t="s">
        <v>100</v>
      </c>
      <c r="Q34">
        <v>1950</v>
      </c>
      <c r="R34">
        <v>28.5</v>
      </c>
      <c r="S34" t="s">
        <v>94</v>
      </c>
      <c r="T34">
        <v>0</v>
      </c>
      <c r="U34" t="s">
        <v>107</v>
      </c>
      <c r="V34" t="s">
        <v>103</v>
      </c>
      <c r="W34">
        <v>9900</v>
      </c>
    </row>
    <row r="35" spans="1:23" x14ac:dyDescent="0.35">
      <c r="A35" t="s">
        <v>200</v>
      </c>
      <c r="B35" t="s">
        <v>147</v>
      </c>
      <c r="C35">
        <v>24</v>
      </c>
      <c r="D35" t="s">
        <v>18</v>
      </c>
      <c r="E35" t="s">
        <v>31</v>
      </c>
      <c r="F35" t="s">
        <v>201</v>
      </c>
      <c r="G35" t="s">
        <v>21</v>
      </c>
      <c r="H35" t="s">
        <v>15</v>
      </c>
      <c r="I35" t="s">
        <v>23</v>
      </c>
      <c r="J35" t="s">
        <v>91</v>
      </c>
      <c r="K35" t="s">
        <v>98</v>
      </c>
      <c r="L35" s="5">
        <v>45695</v>
      </c>
      <c r="M35" s="7">
        <v>0.2013888888888889</v>
      </c>
      <c r="N35" s="7">
        <v>0.35069444444444442</v>
      </c>
      <c r="O35" t="s">
        <v>202</v>
      </c>
      <c r="P35" t="s">
        <v>93</v>
      </c>
      <c r="Q35">
        <v>340</v>
      </c>
      <c r="R35">
        <v>13.2</v>
      </c>
      <c r="S35" t="s">
        <v>111</v>
      </c>
      <c r="T35">
        <v>0</v>
      </c>
      <c r="U35" t="s">
        <v>95</v>
      </c>
      <c r="V35" t="s">
        <v>112</v>
      </c>
      <c r="W35">
        <v>2100</v>
      </c>
    </row>
    <row r="36" spans="1:23" x14ac:dyDescent="0.35">
      <c r="A36" t="s">
        <v>203</v>
      </c>
      <c r="B36" t="s">
        <v>55</v>
      </c>
      <c r="C36">
        <v>36</v>
      </c>
      <c r="D36" t="s">
        <v>11</v>
      </c>
      <c r="E36" t="s">
        <v>12</v>
      </c>
      <c r="F36" s="3" t="s">
        <v>204</v>
      </c>
      <c r="G36" t="s">
        <v>13</v>
      </c>
      <c r="H36" t="s">
        <v>57</v>
      </c>
      <c r="I36" t="s">
        <v>22</v>
      </c>
      <c r="J36" t="s">
        <v>121</v>
      </c>
      <c r="K36" t="s">
        <v>97</v>
      </c>
      <c r="L36" s="5">
        <v>45696</v>
      </c>
      <c r="M36" s="7">
        <v>0.52777777777777779</v>
      </c>
      <c r="N36" s="7">
        <v>0.63194444444444442</v>
      </c>
      <c r="O36" t="s">
        <v>205</v>
      </c>
      <c r="P36" t="s">
        <v>93</v>
      </c>
      <c r="Q36">
        <v>150</v>
      </c>
      <c r="R36">
        <v>12.8</v>
      </c>
      <c r="S36" t="s">
        <v>94</v>
      </c>
      <c r="T36">
        <v>0</v>
      </c>
      <c r="U36" t="s">
        <v>102</v>
      </c>
      <c r="V36" t="s">
        <v>103</v>
      </c>
      <c r="W36">
        <v>1900</v>
      </c>
    </row>
    <row r="37" spans="1:23" x14ac:dyDescent="0.35">
      <c r="A37" t="s">
        <v>206</v>
      </c>
      <c r="B37" t="s">
        <v>59</v>
      </c>
      <c r="C37">
        <v>30</v>
      </c>
      <c r="D37" t="s">
        <v>18</v>
      </c>
      <c r="E37" t="s">
        <v>43</v>
      </c>
      <c r="F37" t="s">
        <v>207</v>
      </c>
      <c r="G37" t="s">
        <v>21</v>
      </c>
      <c r="H37" t="s">
        <v>15</v>
      </c>
      <c r="I37" t="s">
        <v>45</v>
      </c>
      <c r="J37" t="s">
        <v>91</v>
      </c>
      <c r="K37" t="s">
        <v>116</v>
      </c>
      <c r="L37" s="5">
        <v>45696</v>
      </c>
      <c r="M37" s="7">
        <v>0.1423611111111111</v>
      </c>
      <c r="N37" s="7">
        <v>0.46180555555555558</v>
      </c>
      <c r="O37" t="s">
        <v>208</v>
      </c>
      <c r="P37" t="s">
        <v>118</v>
      </c>
      <c r="Q37">
        <v>990</v>
      </c>
      <c r="R37">
        <v>21.5</v>
      </c>
      <c r="S37" t="s">
        <v>101</v>
      </c>
      <c r="T37">
        <v>35</v>
      </c>
      <c r="U37" t="s">
        <v>95</v>
      </c>
      <c r="V37" t="s">
        <v>96</v>
      </c>
      <c r="W37">
        <v>6100</v>
      </c>
    </row>
    <row r="38" spans="1:23" x14ac:dyDescent="0.35">
      <c r="A38" t="s">
        <v>209</v>
      </c>
      <c r="B38" t="s">
        <v>62</v>
      </c>
      <c r="C38">
        <v>52</v>
      </c>
      <c r="D38" t="s">
        <v>11</v>
      </c>
      <c r="E38" t="s">
        <v>26</v>
      </c>
      <c r="F38" t="s">
        <v>63</v>
      </c>
      <c r="G38" t="s">
        <v>21</v>
      </c>
      <c r="H38" t="s">
        <v>22</v>
      </c>
      <c r="I38" t="s">
        <v>23</v>
      </c>
      <c r="J38" t="s">
        <v>97</v>
      </c>
      <c r="K38" t="s">
        <v>98</v>
      </c>
      <c r="L38" s="5">
        <v>45697</v>
      </c>
      <c r="M38" s="7">
        <v>0.98958333333333337</v>
      </c>
      <c r="N38" s="7">
        <v>0.13194444444444445</v>
      </c>
      <c r="O38" t="s">
        <v>210</v>
      </c>
      <c r="P38" t="s">
        <v>100</v>
      </c>
      <c r="Q38">
        <v>1200</v>
      </c>
      <c r="R38">
        <v>29</v>
      </c>
      <c r="S38" t="s">
        <v>94</v>
      </c>
      <c r="T38">
        <v>0</v>
      </c>
      <c r="U38" t="s">
        <v>107</v>
      </c>
      <c r="V38" t="s">
        <v>125</v>
      </c>
      <c r="W38">
        <v>14000</v>
      </c>
    </row>
    <row r="39" spans="1:23" x14ac:dyDescent="0.35">
      <c r="A39" t="s">
        <v>211</v>
      </c>
      <c r="B39" t="s">
        <v>65</v>
      </c>
      <c r="C39">
        <v>24</v>
      </c>
      <c r="D39" t="s">
        <v>18</v>
      </c>
      <c r="E39" t="s">
        <v>12</v>
      </c>
      <c r="F39" s="3" t="s">
        <v>66</v>
      </c>
      <c r="G39" t="s">
        <v>13</v>
      </c>
      <c r="H39" t="s">
        <v>39</v>
      </c>
      <c r="I39" t="s">
        <v>15</v>
      </c>
      <c r="J39" t="s">
        <v>113</v>
      </c>
      <c r="K39" t="s">
        <v>91</v>
      </c>
      <c r="L39" s="5">
        <v>45697</v>
      </c>
      <c r="M39" s="7">
        <v>0.26041666666666669</v>
      </c>
      <c r="N39" s="7">
        <v>0.36805555555555558</v>
      </c>
      <c r="O39" t="s">
        <v>212</v>
      </c>
      <c r="P39" t="s">
        <v>93</v>
      </c>
      <c r="Q39">
        <v>160</v>
      </c>
      <c r="R39">
        <v>10.4</v>
      </c>
      <c r="S39" t="s">
        <v>111</v>
      </c>
      <c r="T39">
        <v>0</v>
      </c>
      <c r="U39" t="s">
        <v>102</v>
      </c>
      <c r="V39" t="s">
        <v>112</v>
      </c>
      <c r="W39">
        <v>900</v>
      </c>
    </row>
    <row r="40" spans="1:23" x14ac:dyDescent="0.35">
      <c r="A40" t="s">
        <v>213</v>
      </c>
      <c r="B40" t="s">
        <v>68</v>
      </c>
      <c r="C40">
        <v>40</v>
      </c>
      <c r="D40" t="s">
        <v>11</v>
      </c>
      <c r="E40" t="s">
        <v>37</v>
      </c>
      <c r="F40" t="s">
        <v>214</v>
      </c>
      <c r="G40" t="s">
        <v>21</v>
      </c>
      <c r="H40" t="s">
        <v>33</v>
      </c>
      <c r="I40" t="s">
        <v>34</v>
      </c>
      <c r="J40" t="s">
        <v>108</v>
      </c>
      <c r="K40" t="s">
        <v>109</v>
      </c>
      <c r="L40" s="5">
        <v>45698</v>
      </c>
      <c r="M40" s="7">
        <v>0.88194444444444442</v>
      </c>
      <c r="N40" s="7">
        <v>0.125</v>
      </c>
      <c r="O40" t="s">
        <v>127</v>
      </c>
      <c r="P40" t="s">
        <v>100</v>
      </c>
      <c r="Q40">
        <v>1340</v>
      </c>
      <c r="R40">
        <v>22.6</v>
      </c>
      <c r="S40" t="s">
        <v>94</v>
      </c>
      <c r="T40">
        <v>0</v>
      </c>
      <c r="U40" t="s">
        <v>95</v>
      </c>
      <c r="V40" t="s">
        <v>103</v>
      </c>
      <c r="W40">
        <v>8700</v>
      </c>
    </row>
    <row r="41" spans="1:23" x14ac:dyDescent="0.35">
      <c r="A41" t="s">
        <v>215</v>
      </c>
      <c r="B41" t="s">
        <v>71</v>
      </c>
      <c r="C41">
        <v>33</v>
      </c>
      <c r="D41" t="s">
        <v>18</v>
      </c>
      <c r="E41" t="s">
        <v>43</v>
      </c>
      <c r="F41" t="s">
        <v>72</v>
      </c>
      <c r="G41" t="s">
        <v>21</v>
      </c>
      <c r="H41" t="s">
        <v>15</v>
      </c>
      <c r="I41" t="s">
        <v>40</v>
      </c>
      <c r="J41" t="s">
        <v>91</v>
      </c>
      <c r="K41" t="s">
        <v>114</v>
      </c>
      <c r="L41" s="5">
        <v>45698</v>
      </c>
      <c r="M41" s="7">
        <v>0.11805555555555555</v>
      </c>
      <c r="N41" s="7">
        <v>0.64583333333333337</v>
      </c>
      <c r="O41" t="s">
        <v>128</v>
      </c>
      <c r="P41" t="s">
        <v>106</v>
      </c>
      <c r="Q41">
        <v>2600</v>
      </c>
      <c r="R41">
        <v>31.4</v>
      </c>
      <c r="S41" t="s">
        <v>101</v>
      </c>
      <c r="T41">
        <v>90</v>
      </c>
      <c r="U41" t="s">
        <v>107</v>
      </c>
      <c r="V41" t="s">
        <v>96</v>
      </c>
      <c r="W41">
        <v>15000</v>
      </c>
    </row>
    <row r="42" spans="1:23" x14ac:dyDescent="0.35">
      <c r="A42" t="s">
        <v>216</v>
      </c>
      <c r="B42" t="s">
        <v>74</v>
      </c>
      <c r="C42">
        <v>47</v>
      </c>
      <c r="D42" t="s">
        <v>11</v>
      </c>
      <c r="E42" t="s">
        <v>19</v>
      </c>
      <c r="F42" t="s">
        <v>75</v>
      </c>
      <c r="G42" t="s">
        <v>21</v>
      </c>
      <c r="H42" t="s">
        <v>14</v>
      </c>
      <c r="I42" t="s">
        <v>23</v>
      </c>
      <c r="J42" t="s">
        <v>90</v>
      </c>
      <c r="K42" t="s">
        <v>98</v>
      </c>
      <c r="L42" s="5">
        <v>45699</v>
      </c>
      <c r="M42" s="7">
        <v>0.54513888888888884</v>
      </c>
      <c r="N42" s="7">
        <v>0.71875</v>
      </c>
      <c r="O42" t="s">
        <v>129</v>
      </c>
      <c r="P42" t="s">
        <v>93</v>
      </c>
      <c r="Q42">
        <v>390</v>
      </c>
      <c r="R42">
        <v>16.100000000000001</v>
      </c>
      <c r="S42" t="s">
        <v>94</v>
      </c>
      <c r="T42">
        <v>0</v>
      </c>
      <c r="U42" t="s">
        <v>95</v>
      </c>
      <c r="V42" t="s">
        <v>103</v>
      </c>
      <c r="W42">
        <v>3000</v>
      </c>
    </row>
    <row r="43" spans="1:23" x14ac:dyDescent="0.35">
      <c r="A43" t="s">
        <v>217</v>
      </c>
      <c r="B43" t="s">
        <v>131</v>
      </c>
      <c r="C43">
        <v>28</v>
      </c>
      <c r="D43" t="s">
        <v>18</v>
      </c>
      <c r="E43" t="s">
        <v>52</v>
      </c>
      <c r="F43" t="s">
        <v>132</v>
      </c>
      <c r="G43" t="s">
        <v>21</v>
      </c>
      <c r="H43" t="s">
        <v>33</v>
      </c>
      <c r="I43" t="s">
        <v>28</v>
      </c>
      <c r="J43" t="s">
        <v>108</v>
      </c>
      <c r="K43" t="s">
        <v>104</v>
      </c>
      <c r="L43" s="5">
        <v>45699</v>
      </c>
      <c r="M43" s="7">
        <v>0.32291666666666669</v>
      </c>
      <c r="N43" s="7">
        <v>0.75694444444444442</v>
      </c>
      <c r="O43" t="s">
        <v>133</v>
      </c>
      <c r="P43" t="s">
        <v>118</v>
      </c>
      <c r="Q43">
        <v>980</v>
      </c>
      <c r="R43">
        <v>21</v>
      </c>
      <c r="S43" t="s">
        <v>111</v>
      </c>
      <c r="T43">
        <v>0</v>
      </c>
      <c r="U43" t="s">
        <v>102</v>
      </c>
      <c r="V43" t="s">
        <v>96</v>
      </c>
      <c r="W43">
        <v>7200</v>
      </c>
    </row>
    <row r="44" spans="1:23" x14ac:dyDescent="0.35">
      <c r="A44" t="s">
        <v>218</v>
      </c>
      <c r="B44" t="s">
        <v>135</v>
      </c>
      <c r="C44">
        <v>39</v>
      </c>
      <c r="D44" t="s">
        <v>11</v>
      </c>
      <c r="E44" t="s">
        <v>12</v>
      </c>
      <c r="F44" s="3" t="s">
        <v>136</v>
      </c>
      <c r="G44" t="s">
        <v>13</v>
      </c>
      <c r="H44" t="s">
        <v>15</v>
      </c>
      <c r="I44" t="s">
        <v>22</v>
      </c>
      <c r="J44" t="s">
        <v>91</v>
      </c>
      <c r="K44" t="s">
        <v>97</v>
      </c>
      <c r="L44" s="5">
        <v>45700</v>
      </c>
      <c r="M44" s="7">
        <v>0.47916666666666669</v>
      </c>
      <c r="N44" s="7">
        <v>0.56944444444444442</v>
      </c>
      <c r="O44" t="s">
        <v>137</v>
      </c>
      <c r="P44" t="s">
        <v>93</v>
      </c>
      <c r="Q44">
        <v>110</v>
      </c>
      <c r="R44">
        <v>8.6</v>
      </c>
      <c r="S44" t="s">
        <v>94</v>
      </c>
      <c r="T44">
        <v>0</v>
      </c>
      <c r="U44" t="s">
        <v>95</v>
      </c>
      <c r="V44" t="s">
        <v>103</v>
      </c>
      <c r="W44">
        <v>1500</v>
      </c>
    </row>
    <row r="45" spans="1:23" x14ac:dyDescent="0.35">
      <c r="A45" t="s">
        <v>219</v>
      </c>
      <c r="B45" t="s">
        <v>139</v>
      </c>
      <c r="C45">
        <v>26</v>
      </c>
      <c r="D45" t="s">
        <v>18</v>
      </c>
      <c r="E45" t="s">
        <v>19</v>
      </c>
      <c r="F45" t="s">
        <v>140</v>
      </c>
      <c r="G45" t="s">
        <v>13</v>
      </c>
      <c r="H45" t="s">
        <v>57</v>
      </c>
      <c r="I45" t="s">
        <v>39</v>
      </c>
      <c r="J45" t="s">
        <v>121</v>
      </c>
      <c r="K45" t="s">
        <v>113</v>
      </c>
      <c r="L45" s="5">
        <v>45700</v>
      </c>
      <c r="M45" s="7">
        <v>0.66666666666666663</v>
      </c>
      <c r="N45" s="7">
        <v>0.76736111111111116</v>
      </c>
      <c r="O45" t="s">
        <v>141</v>
      </c>
      <c r="P45" t="s">
        <v>93</v>
      </c>
      <c r="Q45">
        <v>140</v>
      </c>
      <c r="R45">
        <v>11.2</v>
      </c>
      <c r="S45" t="s">
        <v>101</v>
      </c>
      <c r="T45">
        <v>20</v>
      </c>
      <c r="U45" t="s">
        <v>95</v>
      </c>
      <c r="V45" t="s">
        <v>96</v>
      </c>
      <c r="W45">
        <v>2700</v>
      </c>
    </row>
    <row r="46" spans="1:23" x14ac:dyDescent="0.35">
      <c r="A46" t="s">
        <v>220</v>
      </c>
      <c r="B46" t="s">
        <v>143</v>
      </c>
      <c r="C46">
        <v>50</v>
      </c>
      <c r="D46" t="s">
        <v>11</v>
      </c>
      <c r="E46" t="s">
        <v>26</v>
      </c>
      <c r="F46" t="s">
        <v>144</v>
      </c>
      <c r="G46" t="s">
        <v>21</v>
      </c>
      <c r="H46" t="s">
        <v>14</v>
      </c>
      <c r="I46" t="s">
        <v>34</v>
      </c>
      <c r="J46" t="s">
        <v>90</v>
      </c>
      <c r="K46" t="s">
        <v>109</v>
      </c>
      <c r="L46" s="5">
        <v>45701</v>
      </c>
      <c r="M46" s="7">
        <v>0.88194444444444442</v>
      </c>
      <c r="N46" s="7">
        <v>0.2013888888888889</v>
      </c>
      <c r="O46" t="s">
        <v>145</v>
      </c>
      <c r="P46" t="s">
        <v>100</v>
      </c>
      <c r="Q46">
        <v>1450</v>
      </c>
      <c r="R46">
        <v>25.9</v>
      </c>
      <c r="S46" t="s">
        <v>94</v>
      </c>
      <c r="T46">
        <v>0</v>
      </c>
      <c r="U46" t="s">
        <v>107</v>
      </c>
      <c r="V46" t="s">
        <v>125</v>
      </c>
      <c r="W46">
        <v>11800</v>
      </c>
    </row>
    <row r="47" spans="1:23" x14ac:dyDescent="0.35">
      <c r="A47" t="s">
        <v>221</v>
      </c>
      <c r="B47" t="s">
        <v>222</v>
      </c>
      <c r="C47">
        <v>31</v>
      </c>
      <c r="D47" t="s">
        <v>18</v>
      </c>
      <c r="E47" t="s">
        <v>31</v>
      </c>
      <c r="F47" t="s">
        <v>148</v>
      </c>
      <c r="G47" t="s">
        <v>21</v>
      </c>
      <c r="H47" t="s">
        <v>15</v>
      </c>
      <c r="I47" t="s">
        <v>23</v>
      </c>
      <c r="J47" t="s">
        <v>91</v>
      </c>
      <c r="K47" t="s">
        <v>98</v>
      </c>
      <c r="L47" s="5">
        <v>45701</v>
      </c>
      <c r="M47" s="7">
        <v>0.18402777777777779</v>
      </c>
      <c r="N47" s="7">
        <v>0.33333333333333331</v>
      </c>
      <c r="O47" t="s">
        <v>149</v>
      </c>
      <c r="P47" t="s">
        <v>93</v>
      </c>
      <c r="Q47">
        <v>330</v>
      </c>
      <c r="R47">
        <v>13.5</v>
      </c>
      <c r="S47" t="s">
        <v>111</v>
      </c>
      <c r="T47">
        <v>0</v>
      </c>
      <c r="U47" t="s">
        <v>102</v>
      </c>
      <c r="V47" t="s">
        <v>112</v>
      </c>
      <c r="W47">
        <v>2100</v>
      </c>
    </row>
    <row r="48" spans="1:23" x14ac:dyDescent="0.35">
      <c r="A48" t="s">
        <v>223</v>
      </c>
      <c r="B48" t="s">
        <v>224</v>
      </c>
      <c r="C48">
        <v>44</v>
      </c>
      <c r="D48" t="s">
        <v>11</v>
      </c>
      <c r="E48" t="s">
        <v>12</v>
      </c>
      <c r="F48" s="11" t="s">
        <v>225</v>
      </c>
      <c r="G48" t="s">
        <v>13</v>
      </c>
      <c r="H48" t="s">
        <v>22</v>
      </c>
      <c r="I48" t="s">
        <v>57</v>
      </c>
      <c r="J48" t="s">
        <v>97</v>
      </c>
      <c r="K48" t="s">
        <v>121</v>
      </c>
      <c r="L48" s="5">
        <v>45702</v>
      </c>
      <c r="M48" s="7">
        <v>0.38194444444444442</v>
      </c>
      <c r="N48" s="7">
        <v>0.4861111111111111</v>
      </c>
      <c r="O48" t="s">
        <v>226</v>
      </c>
      <c r="P48" t="s">
        <v>93</v>
      </c>
      <c r="Q48">
        <v>125</v>
      </c>
      <c r="R48">
        <v>12</v>
      </c>
      <c r="S48" t="s">
        <v>94</v>
      </c>
      <c r="T48">
        <v>0</v>
      </c>
      <c r="U48" t="s">
        <v>95</v>
      </c>
      <c r="V48" t="s">
        <v>103</v>
      </c>
      <c r="W48">
        <v>2100</v>
      </c>
    </row>
    <row r="49" spans="1:23" x14ac:dyDescent="0.35">
      <c r="A49" t="s">
        <v>227</v>
      </c>
      <c r="B49" t="s">
        <v>30</v>
      </c>
      <c r="C49">
        <v>25</v>
      </c>
      <c r="D49" t="s">
        <v>18</v>
      </c>
      <c r="E49" t="s">
        <v>19</v>
      </c>
      <c r="F49" t="s">
        <v>20</v>
      </c>
      <c r="G49" t="s">
        <v>21</v>
      </c>
      <c r="H49" t="s">
        <v>15</v>
      </c>
      <c r="I49" t="s">
        <v>28</v>
      </c>
      <c r="J49" t="s">
        <v>91</v>
      </c>
      <c r="K49" t="s">
        <v>104</v>
      </c>
      <c r="L49" s="5">
        <v>45702</v>
      </c>
      <c r="M49" s="7">
        <v>5.2083333333333336E-2</v>
      </c>
      <c r="N49" s="7">
        <v>0.40972222222222221</v>
      </c>
      <c r="O49" t="s">
        <v>99</v>
      </c>
      <c r="P49" t="s">
        <v>100</v>
      </c>
      <c r="Q49">
        <v>860</v>
      </c>
      <c r="R49">
        <v>24</v>
      </c>
      <c r="S49" t="s">
        <v>101</v>
      </c>
      <c r="T49">
        <v>50</v>
      </c>
      <c r="U49" t="s">
        <v>102</v>
      </c>
      <c r="V49" t="s">
        <v>96</v>
      </c>
      <c r="W49">
        <v>8400</v>
      </c>
    </row>
    <row r="50" spans="1:23" x14ac:dyDescent="0.35">
      <c r="A50" t="s">
        <v>228</v>
      </c>
      <c r="B50" t="s">
        <v>36</v>
      </c>
      <c r="C50">
        <v>38</v>
      </c>
      <c r="D50" t="s">
        <v>11</v>
      </c>
      <c r="E50" t="s">
        <v>37</v>
      </c>
      <c r="F50" t="s">
        <v>38</v>
      </c>
      <c r="G50" t="s">
        <v>21</v>
      </c>
      <c r="H50" t="s">
        <v>39</v>
      </c>
      <c r="I50" t="s">
        <v>40</v>
      </c>
      <c r="J50" t="s">
        <v>113</v>
      </c>
      <c r="K50" t="s">
        <v>114</v>
      </c>
      <c r="L50" s="5">
        <v>45703</v>
      </c>
      <c r="M50" s="7">
        <v>0.91666666666666663</v>
      </c>
      <c r="N50" s="7">
        <v>0.57291666666666663</v>
      </c>
      <c r="O50" t="s">
        <v>115</v>
      </c>
      <c r="P50" t="s">
        <v>100</v>
      </c>
      <c r="Q50">
        <v>1980</v>
      </c>
      <c r="R50">
        <v>27.5</v>
      </c>
      <c r="S50" t="s">
        <v>94</v>
      </c>
      <c r="T50">
        <v>0</v>
      </c>
      <c r="U50" t="s">
        <v>102</v>
      </c>
      <c r="V50" t="s">
        <v>103</v>
      </c>
      <c r="W50">
        <v>9700</v>
      </c>
    </row>
    <row r="51" spans="1:23" x14ac:dyDescent="0.35">
      <c r="A51" t="s">
        <v>229</v>
      </c>
      <c r="B51" t="s">
        <v>42</v>
      </c>
      <c r="C51">
        <v>31</v>
      </c>
      <c r="D51" t="s">
        <v>18</v>
      </c>
      <c r="E51" t="s">
        <v>43</v>
      </c>
      <c r="F51" t="s">
        <v>44</v>
      </c>
      <c r="G51" t="s">
        <v>21</v>
      </c>
      <c r="H51" t="s">
        <v>15</v>
      </c>
      <c r="I51" t="s">
        <v>45</v>
      </c>
      <c r="J51" t="s">
        <v>91</v>
      </c>
      <c r="K51" t="s">
        <v>116</v>
      </c>
      <c r="L51" s="5">
        <v>45703</v>
      </c>
      <c r="M51" s="7">
        <v>0.15625</v>
      </c>
      <c r="N51" s="7">
        <v>0.47222222222222221</v>
      </c>
      <c r="O51" t="s">
        <v>117</v>
      </c>
      <c r="P51" t="s">
        <v>118</v>
      </c>
      <c r="Q51">
        <v>980</v>
      </c>
      <c r="R51">
        <v>19.3</v>
      </c>
      <c r="S51" t="s">
        <v>94</v>
      </c>
      <c r="T51">
        <v>0</v>
      </c>
      <c r="U51" t="s">
        <v>95</v>
      </c>
      <c r="V51" t="s">
        <v>96</v>
      </c>
      <c r="W51">
        <v>5400</v>
      </c>
    </row>
    <row r="52" spans="1:23" x14ac:dyDescent="0.35">
      <c r="A52" t="s">
        <v>230</v>
      </c>
      <c r="B52" t="s">
        <v>231</v>
      </c>
      <c r="C52">
        <v>35</v>
      </c>
      <c r="D52" t="s">
        <v>11</v>
      </c>
      <c r="E52" t="s">
        <v>26</v>
      </c>
      <c r="F52" t="s">
        <v>232</v>
      </c>
      <c r="G52" t="s">
        <v>21</v>
      </c>
      <c r="H52" t="s">
        <v>22</v>
      </c>
      <c r="I52" t="s">
        <v>28</v>
      </c>
      <c r="J52" t="s">
        <v>97</v>
      </c>
      <c r="K52" t="s">
        <v>104</v>
      </c>
      <c r="L52" s="5">
        <v>45704</v>
      </c>
      <c r="M52" s="7">
        <v>9.0277777777777776E-2</v>
      </c>
      <c r="N52" s="7">
        <v>0.36805555555555558</v>
      </c>
      <c r="O52" t="s">
        <v>119</v>
      </c>
      <c r="P52" t="s">
        <v>100</v>
      </c>
      <c r="Q52">
        <v>1800</v>
      </c>
      <c r="R52">
        <v>26.5</v>
      </c>
      <c r="S52" t="s">
        <v>94</v>
      </c>
      <c r="T52">
        <v>0</v>
      </c>
      <c r="U52" t="s">
        <v>107</v>
      </c>
      <c r="V52" t="s">
        <v>103</v>
      </c>
      <c r="W52">
        <v>12000</v>
      </c>
    </row>
    <row r="53" spans="1:23" x14ac:dyDescent="0.35">
      <c r="A53" t="s">
        <v>233</v>
      </c>
      <c r="B53" t="s">
        <v>234</v>
      </c>
      <c r="C53">
        <v>28</v>
      </c>
      <c r="D53" t="s">
        <v>18</v>
      </c>
      <c r="E53" t="s">
        <v>12</v>
      </c>
      <c r="F53" s="3" t="s">
        <v>235</v>
      </c>
      <c r="G53" t="s">
        <v>13</v>
      </c>
      <c r="H53" t="s">
        <v>14</v>
      </c>
      <c r="I53" t="s">
        <v>15</v>
      </c>
      <c r="J53" t="s">
        <v>90</v>
      </c>
      <c r="K53" t="s">
        <v>91</v>
      </c>
      <c r="L53" s="5">
        <v>45704</v>
      </c>
      <c r="M53" s="7">
        <v>0.28125</v>
      </c>
      <c r="N53" s="7">
        <v>0.3888888888888889</v>
      </c>
      <c r="O53" t="s">
        <v>236</v>
      </c>
      <c r="P53" t="s">
        <v>93</v>
      </c>
      <c r="Q53">
        <v>150</v>
      </c>
      <c r="R53">
        <v>11.2</v>
      </c>
      <c r="S53" t="s">
        <v>101</v>
      </c>
      <c r="T53">
        <v>30</v>
      </c>
      <c r="U53" t="s">
        <v>102</v>
      </c>
      <c r="V53" t="s">
        <v>96</v>
      </c>
      <c r="W53">
        <v>3200</v>
      </c>
    </row>
    <row r="54" spans="1:23" x14ac:dyDescent="0.35">
      <c r="A54" t="s">
        <v>237</v>
      </c>
      <c r="B54" t="s">
        <v>238</v>
      </c>
      <c r="C54">
        <v>41</v>
      </c>
      <c r="D54" t="s">
        <v>11</v>
      </c>
      <c r="E54" t="s">
        <v>19</v>
      </c>
      <c r="F54" t="s">
        <v>239</v>
      </c>
      <c r="G54" t="s">
        <v>21</v>
      </c>
      <c r="H54" t="s">
        <v>15</v>
      </c>
      <c r="I54" t="s">
        <v>40</v>
      </c>
      <c r="J54" t="s">
        <v>91</v>
      </c>
      <c r="K54" t="s">
        <v>114</v>
      </c>
      <c r="L54" s="5">
        <v>45705</v>
      </c>
      <c r="M54" s="7">
        <v>6.25E-2</v>
      </c>
      <c r="N54" s="7">
        <v>0.59027777777777779</v>
      </c>
      <c r="O54" t="s">
        <v>240</v>
      </c>
      <c r="P54" t="s">
        <v>106</v>
      </c>
      <c r="Q54">
        <v>2800</v>
      </c>
      <c r="R54">
        <v>32</v>
      </c>
      <c r="S54" t="s">
        <v>94</v>
      </c>
      <c r="T54">
        <v>0</v>
      </c>
      <c r="U54" t="s">
        <v>95</v>
      </c>
      <c r="V54" t="s">
        <v>103</v>
      </c>
      <c r="W54">
        <v>15000</v>
      </c>
    </row>
    <row r="55" spans="1:23" x14ac:dyDescent="0.35">
      <c r="A55" t="s">
        <v>241</v>
      </c>
      <c r="B55" t="s">
        <v>242</v>
      </c>
      <c r="C55">
        <v>30</v>
      </c>
      <c r="D55" t="s">
        <v>18</v>
      </c>
      <c r="E55" t="s">
        <v>31</v>
      </c>
      <c r="F55" t="s">
        <v>243</v>
      </c>
      <c r="G55" t="s">
        <v>21</v>
      </c>
      <c r="H55" t="s">
        <v>33</v>
      </c>
      <c r="I55" t="s">
        <v>23</v>
      </c>
      <c r="J55" t="s">
        <v>108</v>
      </c>
      <c r="K55" t="s">
        <v>98</v>
      </c>
      <c r="L55" s="5">
        <v>45705</v>
      </c>
      <c r="M55" s="7">
        <v>0.38194444444444442</v>
      </c>
      <c r="N55" s="7">
        <v>0.48958333333333331</v>
      </c>
      <c r="O55" t="s">
        <v>244</v>
      </c>
      <c r="P55" t="s">
        <v>93</v>
      </c>
      <c r="Q55">
        <v>410</v>
      </c>
      <c r="R55">
        <v>14.5</v>
      </c>
      <c r="S55" t="s">
        <v>111</v>
      </c>
      <c r="T55">
        <v>0</v>
      </c>
      <c r="U55" t="s">
        <v>102</v>
      </c>
      <c r="V55" t="s">
        <v>112</v>
      </c>
      <c r="W55">
        <v>4100</v>
      </c>
    </row>
    <row r="56" spans="1:23" x14ac:dyDescent="0.35">
      <c r="A56" t="s">
        <v>245</v>
      </c>
      <c r="B56" t="s">
        <v>246</v>
      </c>
      <c r="C56">
        <v>48</v>
      </c>
      <c r="D56" t="s">
        <v>11</v>
      </c>
      <c r="E56" t="s">
        <v>43</v>
      </c>
      <c r="F56" t="s">
        <v>247</v>
      </c>
      <c r="G56" t="s">
        <v>21</v>
      </c>
      <c r="H56" t="s">
        <v>15</v>
      </c>
      <c r="I56" t="s">
        <v>45</v>
      </c>
      <c r="J56" t="s">
        <v>91</v>
      </c>
      <c r="K56" t="s">
        <v>116</v>
      </c>
      <c r="L56" s="5">
        <v>45706</v>
      </c>
      <c r="M56" s="7">
        <v>0.125</v>
      </c>
      <c r="N56" s="7">
        <v>0.44791666666666669</v>
      </c>
      <c r="O56" t="s">
        <v>248</v>
      </c>
      <c r="P56" t="s">
        <v>118</v>
      </c>
      <c r="Q56">
        <v>990</v>
      </c>
      <c r="R56">
        <v>20.8</v>
      </c>
      <c r="S56" t="s">
        <v>94</v>
      </c>
      <c r="T56">
        <v>0</v>
      </c>
      <c r="U56" t="s">
        <v>107</v>
      </c>
      <c r="V56" t="s">
        <v>125</v>
      </c>
      <c r="W56">
        <v>8000</v>
      </c>
    </row>
    <row r="57" spans="1:23" x14ac:dyDescent="0.35">
      <c r="A57" t="s">
        <v>249</v>
      </c>
      <c r="B57" t="s">
        <v>250</v>
      </c>
      <c r="C57">
        <v>27</v>
      </c>
      <c r="D57" t="s">
        <v>18</v>
      </c>
      <c r="E57" t="s">
        <v>37</v>
      </c>
      <c r="F57" t="s">
        <v>251</v>
      </c>
      <c r="G57" t="s">
        <v>21</v>
      </c>
      <c r="H57" t="s">
        <v>33</v>
      </c>
      <c r="I57" t="s">
        <v>34</v>
      </c>
      <c r="J57" t="s">
        <v>108</v>
      </c>
      <c r="K57" t="s">
        <v>109</v>
      </c>
      <c r="L57" s="5">
        <v>45706</v>
      </c>
      <c r="M57" s="7">
        <v>0.88888888888888884</v>
      </c>
      <c r="N57" s="7">
        <v>0.13194444444444445</v>
      </c>
      <c r="O57" t="s">
        <v>252</v>
      </c>
      <c r="P57" t="s">
        <v>100</v>
      </c>
      <c r="Q57">
        <v>1400</v>
      </c>
      <c r="R57">
        <v>23</v>
      </c>
      <c r="S57" t="s">
        <v>101</v>
      </c>
      <c r="T57">
        <v>45</v>
      </c>
      <c r="U57" t="s">
        <v>95</v>
      </c>
      <c r="V57" t="s">
        <v>96</v>
      </c>
      <c r="W57">
        <v>9000</v>
      </c>
    </row>
    <row r="58" spans="1:23" x14ac:dyDescent="0.35">
      <c r="A58" t="s">
        <v>253</v>
      </c>
      <c r="B58" t="s">
        <v>254</v>
      </c>
      <c r="C58">
        <v>39</v>
      </c>
      <c r="D58" t="s">
        <v>11</v>
      </c>
      <c r="E58" t="s">
        <v>52</v>
      </c>
      <c r="F58" t="s">
        <v>255</v>
      </c>
      <c r="G58" t="s">
        <v>21</v>
      </c>
      <c r="H58" t="s">
        <v>22</v>
      </c>
      <c r="I58" t="s">
        <v>40</v>
      </c>
      <c r="J58" t="s">
        <v>97</v>
      </c>
      <c r="K58" t="s">
        <v>114</v>
      </c>
      <c r="L58" s="5">
        <v>45707</v>
      </c>
      <c r="M58" s="7">
        <v>0.24305555555555555</v>
      </c>
      <c r="N58" s="7">
        <v>0.72916666666666663</v>
      </c>
      <c r="O58" t="s">
        <v>176</v>
      </c>
      <c r="P58" t="s">
        <v>93</v>
      </c>
      <c r="Q58">
        <v>760</v>
      </c>
      <c r="R58">
        <v>16</v>
      </c>
      <c r="S58" t="s">
        <v>94</v>
      </c>
      <c r="T58">
        <v>0</v>
      </c>
      <c r="U58" t="s">
        <v>102</v>
      </c>
      <c r="V58" t="s">
        <v>103</v>
      </c>
      <c r="W58">
        <v>4200</v>
      </c>
    </row>
    <row r="59" spans="1:23" x14ac:dyDescent="0.35">
      <c r="A59" t="s">
        <v>256</v>
      </c>
      <c r="B59" t="s">
        <v>257</v>
      </c>
      <c r="C59">
        <v>32</v>
      </c>
      <c r="D59" t="s">
        <v>18</v>
      </c>
      <c r="E59" t="s">
        <v>12</v>
      </c>
      <c r="F59" s="3" t="s">
        <v>258</v>
      </c>
      <c r="G59" t="s">
        <v>13</v>
      </c>
      <c r="H59" t="s">
        <v>39</v>
      </c>
      <c r="I59" t="s">
        <v>57</v>
      </c>
      <c r="J59" t="s">
        <v>113</v>
      </c>
      <c r="K59" t="s">
        <v>121</v>
      </c>
      <c r="L59" s="5">
        <v>45707</v>
      </c>
      <c r="M59" s="7">
        <v>0.59027777777777779</v>
      </c>
      <c r="N59" s="7">
        <v>0.69444444444444442</v>
      </c>
      <c r="O59" t="s">
        <v>259</v>
      </c>
      <c r="P59" t="s">
        <v>93</v>
      </c>
      <c r="Q59">
        <v>135</v>
      </c>
      <c r="R59">
        <v>10.8</v>
      </c>
      <c r="S59" t="s">
        <v>111</v>
      </c>
      <c r="T59">
        <v>0</v>
      </c>
      <c r="U59" t="s">
        <v>95</v>
      </c>
      <c r="V59" t="s">
        <v>96</v>
      </c>
      <c r="W59">
        <v>2800</v>
      </c>
    </row>
    <row r="60" spans="1:23" x14ac:dyDescent="0.35">
      <c r="A60" t="s">
        <v>260</v>
      </c>
      <c r="B60" t="s">
        <v>68</v>
      </c>
      <c r="C60">
        <v>40</v>
      </c>
      <c r="D60" t="s">
        <v>11</v>
      </c>
      <c r="E60" t="s">
        <v>48</v>
      </c>
      <c r="F60" t="s">
        <v>261</v>
      </c>
      <c r="G60" t="s">
        <v>21</v>
      </c>
      <c r="H60" t="s">
        <v>14</v>
      </c>
      <c r="I60" t="s">
        <v>28</v>
      </c>
      <c r="J60" t="s">
        <v>90</v>
      </c>
      <c r="K60" t="s">
        <v>104</v>
      </c>
      <c r="L60" s="5">
        <v>45708</v>
      </c>
      <c r="M60" s="7">
        <v>0.41666666666666669</v>
      </c>
      <c r="N60" s="7">
        <v>0.77083333333333337</v>
      </c>
      <c r="O60" t="s">
        <v>262</v>
      </c>
      <c r="P60" t="s">
        <v>100</v>
      </c>
      <c r="Q60">
        <v>1700</v>
      </c>
      <c r="R60">
        <v>27</v>
      </c>
      <c r="S60" t="s">
        <v>94</v>
      </c>
      <c r="T60">
        <v>0</v>
      </c>
      <c r="U60" t="s">
        <v>107</v>
      </c>
      <c r="V60" t="s">
        <v>103</v>
      </c>
      <c r="W60">
        <v>11000</v>
      </c>
    </row>
    <row r="61" spans="1:23" x14ac:dyDescent="0.35">
      <c r="A61" t="s">
        <v>263</v>
      </c>
      <c r="B61" t="s">
        <v>65</v>
      </c>
      <c r="C61">
        <v>25</v>
      </c>
      <c r="D61" t="s">
        <v>18</v>
      </c>
      <c r="E61" t="s">
        <v>19</v>
      </c>
      <c r="F61" t="s">
        <v>264</v>
      </c>
      <c r="G61" t="s">
        <v>13</v>
      </c>
      <c r="H61" t="s">
        <v>15</v>
      </c>
      <c r="I61" t="s">
        <v>33</v>
      </c>
      <c r="J61" t="s">
        <v>91</v>
      </c>
      <c r="K61" t="s">
        <v>108</v>
      </c>
      <c r="L61" s="5">
        <v>45708</v>
      </c>
      <c r="M61" s="7">
        <v>0.30902777777777779</v>
      </c>
      <c r="N61" s="7">
        <v>0.4236111111111111</v>
      </c>
      <c r="O61" t="s">
        <v>265</v>
      </c>
      <c r="P61" t="s">
        <v>93</v>
      </c>
      <c r="Q61">
        <v>140</v>
      </c>
      <c r="R61">
        <v>9.5</v>
      </c>
      <c r="S61" t="s">
        <v>101</v>
      </c>
      <c r="T61">
        <v>20</v>
      </c>
      <c r="U61" t="s">
        <v>102</v>
      </c>
      <c r="V61" t="s">
        <v>112</v>
      </c>
      <c r="W61">
        <v>2500</v>
      </c>
    </row>
    <row r="62" spans="1:23" x14ac:dyDescent="0.35">
      <c r="A62" t="s">
        <v>266</v>
      </c>
      <c r="B62" t="s">
        <v>62</v>
      </c>
      <c r="C62">
        <v>52</v>
      </c>
      <c r="D62" t="s">
        <v>11</v>
      </c>
      <c r="E62" t="s">
        <v>26</v>
      </c>
      <c r="F62" t="s">
        <v>267</v>
      </c>
      <c r="G62" t="s">
        <v>21</v>
      </c>
      <c r="H62" t="s">
        <v>22</v>
      </c>
      <c r="I62" t="s">
        <v>23</v>
      </c>
      <c r="J62" t="s">
        <v>97</v>
      </c>
      <c r="K62" t="s">
        <v>98</v>
      </c>
      <c r="L62" s="5">
        <v>45709</v>
      </c>
      <c r="M62" s="7">
        <v>0.97916666666666663</v>
      </c>
      <c r="N62" s="7">
        <v>0.12152777777777778</v>
      </c>
      <c r="O62" t="s">
        <v>268</v>
      </c>
      <c r="P62" t="s">
        <v>100</v>
      </c>
      <c r="Q62">
        <v>1300</v>
      </c>
      <c r="R62">
        <v>28</v>
      </c>
      <c r="S62" t="s">
        <v>94</v>
      </c>
      <c r="T62">
        <v>0</v>
      </c>
      <c r="U62" t="s">
        <v>107</v>
      </c>
      <c r="V62" t="s">
        <v>125</v>
      </c>
      <c r="W62">
        <v>14500</v>
      </c>
    </row>
    <row r="63" spans="1:23" x14ac:dyDescent="0.35">
      <c r="A63" t="s">
        <v>269</v>
      </c>
      <c r="B63" t="s">
        <v>131</v>
      </c>
      <c r="C63">
        <v>28</v>
      </c>
      <c r="D63" t="s">
        <v>18</v>
      </c>
      <c r="E63" t="s">
        <v>43</v>
      </c>
      <c r="F63" t="s">
        <v>270</v>
      </c>
      <c r="G63" t="s">
        <v>21</v>
      </c>
      <c r="H63" t="s">
        <v>15</v>
      </c>
      <c r="I63" t="s">
        <v>40</v>
      </c>
      <c r="J63" t="s">
        <v>91</v>
      </c>
      <c r="K63" t="s">
        <v>114</v>
      </c>
      <c r="L63" s="5">
        <v>45709</v>
      </c>
      <c r="M63" s="7">
        <v>0.1111111111111111</v>
      </c>
      <c r="N63" s="7">
        <v>0.63888888888888884</v>
      </c>
      <c r="O63" t="s">
        <v>271</v>
      </c>
      <c r="P63" t="s">
        <v>106</v>
      </c>
      <c r="Q63">
        <v>2600</v>
      </c>
      <c r="R63">
        <v>30.5</v>
      </c>
      <c r="S63" t="s">
        <v>111</v>
      </c>
      <c r="T63">
        <v>0</v>
      </c>
      <c r="U63" t="s">
        <v>95</v>
      </c>
      <c r="V63" t="s">
        <v>96</v>
      </c>
      <c r="W63">
        <v>14000</v>
      </c>
    </row>
    <row r="64" spans="1:23" x14ac:dyDescent="0.35">
      <c r="A64" t="s">
        <v>272</v>
      </c>
      <c r="B64" t="s">
        <v>273</v>
      </c>
      <c r="C64">
        <v>46</v>
      </c>
      <c r="D64" t="s">
        <v>11</v>
      </c>
      <c r="E64" t="s">
        <v>19</v>
      </c>
      <c r="F64" t="s">
        <v>274</v>
      </c>
      <c r="G64" t="s">
        <v>21</v>
      </c>
      <c r="H64" t="s">
        <v>14</v>
      </c>
      <c r="I64" t="s">
        <v>23</v>
      </c>
      <c r="J64" t="s">
        <v>90</v>
      </c>
      <c r="K64" t="s">
        <v>98</v>
      </c>
      <c r="L64" s="5">
        <v>45710</v>
      </c>
      <c r="M64" s="7">
        <v>0.55208333333333337</v>
      </c>
      <c r="N64" s="7">
        <v>0.72569444444444442</v>
      </c>
      <c r="O64" t="s">
        <v>275</v>
      </c>
      <c r="P64" t="s">
        <v>93</v>
      </c>
      <c r="Q64">
        <v>380</v>
      </c>
      <c r="R64">
        <v>15.8</v>
      </c>
      <c r="S64" t="s">
        <v>94</v>
      </c>
      <c r="T64">
        <v>0</v>
      </c>
      <c r="U64" t="s">
        <v>95</v>
      </c>
      <c r="V64" t="s">
        <v>103</v>
      </c>
      <c r="W64">
        <v>3100</v>
      </c>
    </row>
    <row r="65" spans="1:23" x14ac:dyDescent="0.35">
      <c r="A65" t="s">
        <v>276</v>
      </c>
      <c r="B65" t="s">
        <v>277</v>
      </c>
      <c r="C65">
        <v>24</v>
      </c>
      <c r="D65" t="s">
        <v>18</v>
      </c>
      <c r="E65" t="s">
        <v>31</v>
      </c>
      <c r="F65" t="s">
        <v>278</v>
      </c>
      <c r="G65" t="s">
        <v>21</v>
      </c>
      <c r="H65" t="s">
        <v>15</v>
      </c>
      <c r="I65" t="s">
        <v>34</v>
      </c>
      <c r="J65" t="s">
        <v>91</v>
      </c>
      <c r="K65" t="s">
        <v>109</v>
      </c>
      <c r="L65" s="5">
        <v>45710</v>
      </c>
      <c r="M65" s="7">
        <v>0.1736111111111111</v>
      </c>
      <c r="N65" s="7">
        <v>0.52083333333333337</v>
      </c>
      <c r="O65" t="s">
        <v>120</v>
      </c>
      <c r="P65" t="s">
        <v>93</v>
      </c>
      <c r="Q65">
        <v>360</v>
      </c>
      <c r="R65">
        <v>13</v>
      </c>
      <c r="S65" t="s">
        <v>101</v>
      </c>
      <c r="T65">
        <v>55</v>
      </c>
      <c r="U65" t="s">
        <v>102</v>
      </c>
      <c r="V65" t="s">
        <v>112</v>
      </c>
      <c r="W65">
        <v>2200</v>
      </c>
    </row>
    <row r="66" spans="1:23" x14ac:dyDescent="0.35">
      <c r="A66" t="s">
        <v>279</v>
      </c>
      <c r="B66" t="s">
        <v>135</v>
      </c>
      <c r="C66">
        <v>38</v>
      </c>
      <c r="D66" t="s">
        <v>11</v>
      </c>
      <c r="E66" t="s">
        <v>12</v>
      </c>
      <c r="F66" s="3" t="s">
        <v>280</v>
      </c>
      <c r="G66" t="s">
        <v>13</v>
      </c>
      <c r="H66" t="s">
        <v>22</v>
      </c>
      <c r="I66" t="s">
        <v>15</v>
      </c>
      <c r="J66" t="s">
        <v>97</v>
      </c>
      <c r="K66" t="s">
        <v>91</v>
      </c>
      <c r="L66" s="5">
        <v>45711</v>
      </c>
      <c r="M66" s="7">
        <v>0.48958333333333331</v>
      </c>
      <c r="N66" s="7">
        <v>0.57986111111111116</v>
      </c>
      <c r="O66" t="s">
        <v>281</v>
      </c>
      <c r="P66" t="s">
        <v>93</v>
      </c>
      <c r="Q66">
        <v>120</v>
      </c>
      <c r="R66">
        <v>8.5</v>
      </c>
      <c r="S66" t="s">
        <v>94</v>
      </c>
      <c r="T66">
        <v>0</v>
      </c>
      <c r="U66" t="s">
        <v>95</v>
      </c>
      <c r="V66" t="s">
        <v>103</v>
      </c>
      <c r="W66">
        <v>1600</v>
      </c>
    </row>
    <row r="67" spans="1:23" x14ac:dyDescent="0.35">
      <c r="A67" t="s">
        <v>282</v>
      </c>
      <c r="B67" t="s">
        <v>139</v>
      </c>
      <c r="C67">
        <v>26</v>
      </c>
      <c r="D67" t="s">
        <v>18</v>
      </c>
      <c r="E67" t="s">
        <v>19</v>
      </c>
      <c r="F67" t="s">
        <v>283</v>
      </c>
      <c r="G67" t="s">
        <v>13</v>
      </c>
      <c r="H67" t="s">
        <v>57</v>
      </c>
      <c r="I67" t="s">
        <v>39</v>
      </c>
      <c r="J67" t="s">
        <v>121</v>
      </c>
      <c r="K67" t="s">
        <v>113</v>
      </c>
      <c r="L67" s="5">
        <v>45711</v>
      </c>
      <c r="M67" s="7">
        <v>0.68055555555555558</v>
      </c>
      <c r="N67" s="7">
        <v>0.78472222222222221</v>
      </c>
      <c r="O67" t="s">
        <v>284</v>
      </c>
      <c r="P67" t="s">
        <v>93</v>
      </c>
      <c r="Q67">
        <v>145</v>
      </c>
      <c r="R67">
        <v>11</v>
      </c>
      <c r="S67" t="s">
        <v>111</v>
      </c>
      <c r="T67">
        <v>0</v>
      </c>
      <c r="U67" t="s">
        <v>102</v>
      </c>
      <c r="V67" t="s">
        <v>96</v>
      </c>
      <c r="W67">
        <v>2900</v>
      </c>
    </row>
    <row r="68" spans="1:23" x14ac:dyDescent="0.35">
      <c r="A68" t="s">
        <v>285</v>
      </c>
      <c r="B68" t="s">
        <v>143</v>
      </c>
      <c r="C68">
        <v>50</v>
      </c>
      <c r="D68" t="s">
        <v>11</v>
      </c>
      <c r="E68" t="s">
        <v>26</v>
      </c>
      <c r="F68" t="s">
        <v>144</v>
      </c>
      <c r="G68" t="s">
        <v>21</v>
      </c>
      <c r="H68" t="s">
        <v>14</v>
      </c>
      <c r="I68" t="s">
        <v>34</v>
      </c>
      <c r="J68" t="s">
        <v>90</v>
      </c>
      <c r="K68" t="s">
        <v>109</v>
      </c>
      <c r="L68" s="5">
        <v>45712</v>
      </c>
      <c r="M68" s="7">
        <v>0.88194444444444442</v>
      </c>
      <c r="N68" s="7">
        <v>0.2013888888888889</v>
      </c>
      <c r="O68" t="s">
        <v>145</v>
      </c>
      <c r="P68" t="s">
        <v>100</v>
      </c>
      <c r="Q68">
        <v>1450</v>
      </c>
      <c r="R68">
        <v>25.9</v>
      </c>
      <c r="S68" t="s">
        <v>94</v>
      </c>
      <c r="T68">
        <v>0</v>
      </c>
      <c r="U68" t="s">
        <v>107</v>
      </c>
      <c r="V68" t="s">
        <v>125</v>
      </c>
      <c r="W68">
        <v>11800</v>
      </c>
    </row>
    <row r="69" spans="1:23" x14ac:dyDescent="0.35">
      <c r="A69" t="s">
        <v>286</v>
      </c>
      <c r="B69" t="s">
        <v>147</v>
      </c>
      <c r="C69">
        <v>23</v>
      </c>
      <c r="D69" t="s">
        <v>18</v>
      </c>
      <c r="E69" t="s">
        <v>31</v>
      </c>
      <c r="F69" t="s">
        <v>148</v>
      </c>
      <c r="G69" t="s">
        <v>21</v>
      </c>
      <c r="H69" t="s">
        <v>15</v>
      </c>
      <c r="I69" t="s">
        <v>23</v>
      </c>
      <c r="J69" t="s">
        <v>91</v>
      </c>
      <c r="K69" t="s">
        <v>98</v>
      </c>
      <c r="L69" s="5">
        <v>45712</v>
      </c>
      <c r="M69" s="7">
        <v>0.18402777777777779</v>
      </c>
      <c r="N69" s="7">
        <v>0.33333333333333331</v>
      </c>
      <c r="O69" t="s">
        <v>149</v>
      </c>
      <c r="P69" t="s">
        <v>93</v>
      </c>
      <c r="Q69">
        <v>330</v>
      </c>
      <c r="R69">
        <v>13.5</v>
      </c>
      <c r="S69" t="s">
        <v>111</v>
      </c>
      <c r="T69">
        <v>0</v>
      </c>
      <c r="U69" t="s">
        <v>102</v>
      </c>
      <c r="V69" t="s">
        <v>112</v>
      </c>
      <c r="W69">
        <v>2100</v>
      </c>
    </row>
    <row r="70" spans="1:23" x14ac:dyDescent="0.35">
      <c r="A70" t="s">
        <v>287</v>
      </c>
      <c r="B70" t="s">
        <v>151</v>
      </c>
      <c r="C70">
        <v>42</v>
      </c>
      <c r="D70" t="s">
        <v>11</v>
      </c>
      <c r="E70" t="s">
        <v>12</v>
      </c>
      <c r="F70" s="11" t="s">
        <v>717</v>
      </c>
      <c r="G70" t="s">
        <v>13</v>
      </c>
      <c r="H70" t="s">
        <v>22</v>
      </c>
      <c r="I70" t="s">
        <v>57</v>
      </c>
      <c r="J70" t="s">
        <v>97</v>
      </c>
      <c r="K70" t="s">
        <v>121</v>
      </c>
      <c r="L70" s="5">
        <v>45713</v>
      </c>
      <c r="M70" s="7">
        <v>0.34027777777777779</v>
      </c>
      <c r="N70" s="7">
        <v>0.44791666666666669</v>
      </c>
      <c r="O70" t="s">
        <v>152</v>
      </c>
      <c r="P70" t="s">
        <v>93</v>
      </c>
      <c r="Q70">
        <v>130</v>
      </c>
      <c r="R70">
        <v>12.5</v>
      </c>
      <c r="S70" t="s">
        <v>94</v>
      </c>
      <c r="T70">
        <v>0</v>
      </c>
      <c r="U70" t="s">
        <v>95</v>
      </c>
      <c r="V70" t="s">
        <v>96</v>
      </c>
      <c r="W70">
        <v>2000</v>
      </c>
    </row>
    <row r="71" spans="1:23" x14ac:dyDescent="0.35">
      <c r="A71" t="s">
        <v>288</v>
      </c>
      <c r="B71" t="s">
        <v>154</v>
      </c>
      <c r="C71">
        <v>35</v>
      </c>
      <c r="D71" t="s">
        <v>18</v>
      </c>
      <c r="E71" t="s">
        <v>19</v>
      </c>
      <c r="F71" t="s">
        <v>155</v>
      </c>
      <c r="G71" t="s">
        <v>21</v>
      </c>
      <c r="H71" t="s">
        <v>15</v>
      </c>
      <c r="I71" t="s">
        <v>28</v>
      </c>
      <c r="J71" t="s">
        <v>91</v>
      </c>
      <c r="K71" t="s">
        <v>104</v>
      </c>
      <c r="L71" s="5">
        <v>45713</v>
      </c>
      <c r="M71" s="7">
        <v>5.5555555555555552E-2</v>
      </c>
      <c r="N71" s="7">
        <v>0.40277777777777779</v>
      </c>
      <c r="O71" t="s">
        <v>156</v>
      </c>
      <c r="P71" t="s">
        <v>100</v>
      </c>
      <c r="Q71">
        <v>1750</v>
      </c>
      <c r="R71">
        <v>25</v>
      </c>
      <c r="S71" t="s">
        <v>101</v>
      </c>
      <c r="T71">
        <v>40</v>
      </c>
      <c r="U71" t="s">
        <v>107</v>
      </c>
      <c r="V71" t="s">
        <v>103</v>
      </c>
      <c r="W71">
        <v>11200</v>
      </c>
    </row>
    <row r="72" spans="1:23" x14ac:dyDescent="0.35">
      <c r="A72" t="s">
        <v>289</v>
      </c>
      <c r="B72" t="s">
        <v>158</v>
      </c>
      <c r="C72">
        <v>44</v>
      </c>
      <c r="D72" t="s">
        <v>11</v>
      </c>
      <c r="E72" t="s">
        <v>26</v>
      </c>
      <c r="F72" t="s">
        <v>159</v>
      </c>
      <c r="G72" t="s">
        <v>21</v>
      </c>
      <c r="H72" t="s">
        <v>22</v>
      </c>
      <c r="I72" t="s">
        <v>23</v>
      </c>
      <c r="J72" t="s">
        <v>97</v>
      </c>
      <c r="K72" t="s">
        <v>98</v>
      </c>
      <c r="L72" s="5">
        <v>45714</v>
      </c>
      <c r="M72" s="7">
        <v>0.97916666666666663</v>
      </c>
      <c r="N72" s="7">
        <v>9.0277777777777776E-2</v>
      </c>
      <c r="O72" t="s">
        <v>160</v>
      </c>
      <c r="P72" t="s">
        <v>93</v>
      </c>
      <c r="Q72">
        <v>420</v>
      </c>
      <c r="R72">
        <v>18</v>
      </c>
      <c r="S72" t="s">
        <v>94</v>
      </c>
      <c r="T72">
        <v>0</v>
      </c>
      <c r="U72" t="s">
        <v>102</v>
      </c>
      <c r="V72" t="s">
        <v>96</v>
      </c>
      <c r="W72">
        <v>3200</v>
      </c>
    </row>
    <row r="73" spans="1:23" x14ac:dyDescent="0.35">
      <c r="A73" t="s">
        <v>290</v>
      </c>
      <c r="B73" t="s">
        <v>162</v>
      </c>
      <c r="C73">
        <v>31</v>
      </c>
      <c r="D73" t="s">
        <v>18</v>
      </c>
      <c r="E73" t="s">
        <v>31</v>
      </c>
      <c r="F73" t="s">
        <v>163</v>
      </c>
      <c r="G73" t="s">
        <v>21</v>
      </c>
      <c r="H73" t="s">
        <v>39</v>
      </c>
      <c r="I73" t="s">
        <v>34</v>
      </c>
      <c r="J73" t="s">
        <v>113</v>
      </c>
      <c r="K73" t="s">
        <v>109</v>
      </c>
      <c r="L73" s="5">
        <v>45714</v>
      </c>
      <c r="M73" s="7">
        <v>0.38541666666666669</v>
      </c>
      <c r="N73" s="7">
        <v>0.64583333333333337</v>
      </c>
      <c r="O73" t="s">
        <v>164</v>
      </c>
      <c r="P73" t="s">
        <v>118</v>
      </c>
      <c r="Q73">
        <v>780</v>
      </c>
      <c r="R73">
        <v>20.2</v>
      </c>
      <c r="S73" t="s">
        <v>101</v>
      </c>
      <c r="T73">
        <v>55</v>
      </c>
      <c r="U73" t="s">
        <v>95</v>
      </c>
      <c r="V73" t="s">
        <v>112</v>
      </c>
      <c r="W73">
        <v>6100</v>
      </c>
    </row>
    <row r="74" spans="1:23" x14ac:dyDescent="0.35">
      <c r="A74" t="s">
        <v>291</v>
      </c>
      <c r="B74" t="s">
        <v>166</v>
      </c>
      <c r="C74">
        <v>37</v>
      </c>
      <c r="D74" t="s">
        <v>11</v>
      </c>
      <c r="E74" t="s">
        <v>43</v>
      </c>
      <c r="F74" t="s">
        <v>167</v>
      </c>
      <c r="G74" t="s">
        <v>21</v>
      </c>
      <c r="H74" t="s">
        <v>15</v>
      </c>
      <c r="I74" t="s">
        <v>45</v>
      </c>
      <c r="J74" t="s">
        <v>91</v>
      </c>
      <c r="K74" t="s">
        <v>116</v>
      </c>
      <c r="L74" s="5">
        <v>45715</v>
      </c>
      <c r="M74" s="7">
        <v>0.15972222222222221</v>
      </c>
      <c r="N74" s="7">
        <v>0.46527777777777779</v>
      </c>
      <c r="O74" t="s">
        <v>168</v>
      </c>
      <c r="P74" t="s">
        <v>100</v>
      </c>
      <c r="Q74">
        <v>1400</v>
      </c>
      <c r="R74">
        <v>23.5</v>
      </c>
      <c r="S74" t="s">
        <v>94</v>
      </c>
      <c r="T74">
        <v>0</v>
      </c>
      <c r="U74" t="s">
        <v>107</v>
      </c>
      <c r="V74" t="s">
        <v>103</v>
      </c>
      <c r="W74">
        <v>9200</v>
      </c>
    </row>
    <row r="75" spans="1:23" x14ac:dyDescent="0.35">
      <c r="A75" t="s">
        <v>292</v>
      </c>
      <c r="B75" t="s">
        <v>170</v>
      </c>
      <c r="C75">
        <v>28</v>
      </c>
      <c r="D75" t="s">
        <v>18</v>
      </c>
      <c r="E75" t="s">
        <v>52</v>
      </c>
      <c r="F75" t="s">
        <v>171</v>
      </c>
      <c r="G75" t="s">
        <v>21</v>
      </c>
      <c r="H75" t="s">
        <v>22</v>
      </c>
      <c r="I75" t="s">
        <v>40</v>
      </c>
      <c r="J75" t="s">
        <v>97</v>
      </c>
      <c r="K75" t="s">
        <v>114</v>
      </c>
      <c r="L75" s="5">
        <v>45715</v>
      </c>
      <c r="M75" s="7">
        <v>0.27777777777777779</v>
      </c>
      <c r="N75" s="7">
        <v>0.74652777777777779</v>
      </c>
      <c r="O75" t="s">
        <v>172</v>
      </c>
      <c r="P75" t="s">
        <v>93</v>
      </c>
      <c r="Q75">
        <v>760</v>
      </c>
      <c r="R75">
        <v>16.8</v>
      </c>
      <c r="S75" t="s">
        <v>111</v>
      </c>
      <c r="T75">
        <v>0</v>
      </c>
      <c r="U75" t="s">
        <v>95</v>
      </c>
      <c r="V75" t="s">
        <v>96</v>
      </c>
      <c r="W75">
        <v>4100</v>
      </c>
    </row>
    <row r="76" spans="1:23" x14ac:dyDescent="0.35">
      <c r="A76" t="s">
        <v>293</v>
      </c>
      <c r="B76" t="s">
        <v>174</v>
      </c>
      <c r="C76">
        <v>49</v>
      </c>
      <c r="D76" t="s">
        <v>11</v>
      </c>
      <c r="E76" t="s">
        <v>12</v>
      </c>
      <c r="F76" s="3" t="s">
        <v>175</v>
      </c>
      <c r="G76" t="s">
        <v>13</v>
      </c>
      <c r="H76" t="s">
        <v>15</v>
      </c>
      <c r="I76" t="s">
        <v>33</v>
      </c>
      <c r="J76" t="s">
        <v>91</v>
      </c>
      <c r="K76" t="s">
        <v>108</v>
      </c>
      <c r="L76" s="5">
        <v>45716</v>
      </c>
      <c r="M76" s="7">
        <v>0.47222222222222221</v>
      </c>
      <c r="N76" s="7">
        <v>0.56944444444444442</v>
      </c>
      <c r="O76" t="s">
        <v>176</v>
      </c>
      <c r="P76" t="s">
        <v>93</v>
      </c>
      <c r="Q76">
        <v>120</v>
      </c>
      <c r="R76">
        <v>9.1999999999999993</v>
      </c>
      <c r="S76" t="s">
        <v>94</v>
      </c>
      <c r="T76">
        <v>0</v>
      </c>
      <c r="U76" t="s">
        <v>102</v>
      </c>
      <c r="V76" t="s">
        <v>103</v>
      </c>
      <c r="W76">
        <v>1800</v>
      </c>
    </row>
    <row r="77" spans="1:23" x14ac:dyDescent="0.35">
      <c r="A77" t="s">
        <v>294</v>
      </c>
      <c r="B77" t="s">
        <v>178</v>
      </c>
      <c r="C77">
        <v>26</v>
      </c>
      <c r="D77" t="s">
        <v>18</v>
      </c>
      <c r="E77" t="s">
        <v>19</v>
      </c>
      <c r="F77" t="s">
        <v>179</v>
      </c>
      <c r="G77" t="s">
        <v>13</v>
      </c>
      <c r="H77" t="s">
        <v>57</v>
      </c>
      <c r="I77" t="s">
        <v>39</v>
      </c>
      <c r="J77" t="s">
        <v>121</v>
      </c>
      <c r="K77" t="s">
        <v>113</v>
      </c>
      <c r="L77" s="5">
        <v>45716</v>
      </c>
      <c r="M77" s="7">
        <v>0.63194444444444442</v>
      </c>
      <c r="N77" s="7">
        <v>0.73263888888888884</v>
      </c>
      <c r="O77" t="s">
        <v>180</v>
      </c>
      <c r="P77" t="s">
        <v>93</v>
      </c>
      <c r="Q77">
        <v>140</v>
      </c>
      <c r="R77">
        <v>11</v>
      </c>
      <c r="S77" t="s">
        <v>101</v>
      </c>
      <c r="T77">
        <v>25</v>
      </c>
      <c r="U77" t="s">
        <v>95</v>
      </c>
      <c r="V77" t="s">
        <v>96</v>
      </c>
      <c r="W77">
        <v>2500</v>
      </c>
    </row>
    <row r="78" spans="1:23" x14ac:dyDescent="0.35">
      <c r="A78" t="s">
        <v>295</v>
      </c>
      <c r="B78" t="s">
        <v>182</v>
      </c>
      <c r="C78">
        <v>33</v>
      </c>
      <c r="D78" t="s">
        <v>11</v>
      </c>
      <c r="E78" t="s">
        <v>37</v>
      </c>
      <c r="F78" t="s">
        <v>38</v>
      </c>
      <c r="G78" t="s">
        <v>21</v>
      </c>
      <c r="H78" t="s">
        <v>33</v>
      </c>
      <c r="I78" t="s">
        <v>34</v>
      </c>
      <c r="J78" t="s">
        <v>108</v>
      </c>
      <c r="K78" t="s">
        <v>109</v>
      </c>
      <c r="L78" s="5">
        <v>45717</v>
      </c>
      <c r="M78" s="7">
        <v>0.85416666666666663</v>
      </c>
      <c r="N78" s="7">
        <v>9.7222222222222224E-2</v>
      </c>
      <c r="O78" t="s">
        <v>183</v>
      </c>
      <c r="P78" t="s">
        <v>100</v>
      </c>
      <c r="Q78">
        <v>1350</v>
      </c>
      <c r="R78">
        <v>24</v>
      </c>
      <c r="S78" t="s">
        <v>94</v>
      </c>
      <c r="T78">
        <v>0</v>
      </c>
      <c r="U78" t="s">
        <v>102</v>
      </c>
      <c r="V78" t="s">
        <v>103</v>
      </c>
      <c r="W78">
        <v>8800</v>
      </c>
    </row>
    <row r="79" spans="1:23" x14ac:dyDescent="0.35">
      <c r="A79" t="s">
        <v>296</v>
      </c>
      <c r="B79" t="s">
        <v>185</v>
      </c>
      <c r="C79">
        <v>29</v>
      </c>
      <c r="D79" t="s">
        <v>18</v>
      </c>
      <c r="E79" t="s">
        <v>48</v>
      </c>
      <c r="F79" t="s">
        <v>186</v>
      </c>
      <c r="G79" t="s">
        <v>21</v>
      </c>
      <c r="H79" t="s">
        <v>14</v>
      </c>
      <c r="I79" t="s">
        <v>28</v>
      </c>
      <c r="J79" t="s">
        <v>90</v>
      </c>
      <c r="K79" t="s">
        <v>104</v>
      </c>
      <c r="L79" s="5">
        <v>45717</v>
      </c>
      <c r="M79" s="7">
        <v>0.4201388888888889</v>
      </c>
      <c r="N79" s="7">
        <v>0.76041666666666663</v>
      </c>
      <c r="O79" t="s">
        <v>187</v>
      </c>
      <c r="P79" t="s">
        <v>118</v>
      </c>
      <c r="Q79">
        <v>980</v>
      </c>
      <c r="R79">
        <v>19.5</v>
      </c>
      <c r="S79" t="s">
        <v>111</v>
      </c>
      <c r="T79">
        <v>0</v>
      </c>
      <c r="U79" t="s">
        <v>107</v>
      </c>
      <c r="V79" t="s">
        <v>96</v>
      </c>
      <c r="W79">
        <v>5400</v>
      </c>
    </row>
    <row r="80" spans="1:23" x14ac:dyDescent="0.35">
      <c r="A80" t="s">
        <v>297</v>
      </c>
      <c r="B80" t="s">
        <v>189</v>
      </c>
      <c r="C80">
        <v>41</v>
      </c>
      <c r="D80" t="s">
        <v>11</v>
      </c>
      <c r="E80" t="s">
        <v>26</v>
      </c>
      <c r="F80" t="s">
        <v>190</v>
      </c>
      <c r="G80" t="s">
        <v>21</v>
      </c>
      <c r="H80" t="s">
        <v>22</v>
      </c>
      <c r="I80" t="s">
        <v>23</v>
      </c>
      <c r="J80" t="s">
        <v>97</v>
      </c>
      <c r="K80" t="s">
        <v>98</v>
      </c>
      <c r="L80" s="5">
        <v>45718</v>
      </c>
      <c r="M80" s="7">
        <v>0.96527777777777779</v>
      </c>
      <c r="N80" s="7">
        <v>0.11805555555555555</v>
      </c>
      <c r="O80" t="s">
        <v>191</v>
      </c>
      <c r="P80" t="s">
        <v>100</v>
      </c>
      <c r="Q80">
        <v>1250</v>
      </c>
      <c r="R80">
        <v>27</v>
      </c>
      <c r="S80" t="s">
        <v>94</v>
      </c>
      <c r="T80">
        <v>0</v>
      </c>
      <c r="U80" t="s">
        <v>95</v>
      </c>
      <c r="V80" t="s">
        <v>125</v>
      </c>
      <c r="W80">
        <v>13500</v>
      </c>
    </row>
    <row r="81" spans="1:24" x14ac:dyDescent="0.35">
      <c r="A81" t="s">
        <v>298</v>
      </c>
      <c r="B81" t="s">
        <v>193</v>
      </c>
      <c r="C81">
        <v>27</v>
      </c>
      <c r="D81" t="s">
        <v>18</v>
      </c>
      <c r="E81" t="s">
        <v>12</v>
      </c>
      <c r="F81" s="3" t="s">
        <v>194</v>
      </c>
      <c r="G81" t="s">
        <v>13</v>
      </c>
      <c r="H81" t="s">
        <v>15</v>
      </c>
      <c r="I81" t="s">
        <v>14</v>
      </c>
      <c r="J81" t="s">
        <v>91</v>
      </c>
      <c r="K81" t="s">
        <v>90</v>
      </c>
      <c r="L81" s="5">
        <v>45718</v>
      </c>
      <c r="M81" s="7">
        <v>0.3125</v>
      </c>
      <c r="N81" s="7">
        <v>0.4201388888888889</v>
      </c>
      <c r="O81" t="s">
        <v>195</v>
      </c>
      <c r="P81" t="s">
        <v>93</v>
      </c>
      <c r="Q81">
        <v>135</v>
      </c>
      <c r="R81">
        <v>10</v>
      </c>
      <c r="S81" t="s">
        <v>101</v>
      </c>
      <c r="T81">
        <v>20</v>
      </c>
      <c r="U81" t="s">
        <v>102</v>
      </c>
      <c r="V81" t="s">
        <v>112</v>
      </c>
      <c r="W81">
        <v>3100</v>
      </c>
    </row>
    <row r="82" spans="1:24" x14ac:dyDescent="0.35">
      <c r="A82" t="s">
        <v>299</v>
      </c>
      <c r="B82" t="s">
        <v>197</v>
      </c>
      <c r="C82">
        <v>38</v>
      </c>
      <c r="D82" t="s">
        <v>11</v>
      </c>
      <c r="E82" t="s">
        <v>19</v>
      </c>
      <c r="F82" t="s">
        <v>198</v>
      </c>
      <c r="G82" t="s">
        <v>21</v>
      </c>
      <c r="H82" t="s">
        <v>22</v>
      </c>
      <c r="I82" t="s">
        <v>40</v>
      </c>
      <c r="J82" t="s">
        <v>97</v>
      </c>
      <c r="K82" t="s">
        <v>114</v>
      </c>
      <c r="L82" s="5">
        <v>45719</v>
      </c>
      <c r="M82" s="7">
        <v>9.375E-2</v>
      </c>
      <c r="N82" s="7">
        <v>0.60416666666666663</v>
      </c>
      <c r="O82" t="s">
        <v>199</v>
      </c>
      <c r="P82" t="s">
        <v>100</v>
      </c>
      <c r="Q82">
        <v>1950</v>
      </c>
      <c r="R82">
        <v>28.5</v>
      </c>
      <c r="S82" t="s">
        <v>94</v>
      </c>
      <c r="T82">
        <v>0</v>
      </c>
      <c r="U82" t="s">
        <v>107</v>
      </c>
      <c r="V82" t="s">
        <v>103</v>
      </c>
      <c r="W82">
        <v>9900</v>
      </c>
    </row>
    <row r="83" spans="1:24" x14ac:dyDescent="0.35">
      <c r="A83" t="s">
        <v>300</v>
      </c>
      <c r="B83" t="s">
        <v>147</v>
      </c>
      <c r="C83">
        <v>24</v>
      </c>
      <c r="D83" t="s">
        <v>18</v>
      </c>
      <c r="E83" t="s">
        <v>31</v>
      </c>
      <c r="F83" t="s">
        <v>201</v>
      </c>
      <c r="G83" t="s">
        <v>21</v>
      </c>
      <c r="H83" t="s">
        <v>15</v>
      </c>
      <c r="I83" t="s">
        <v>23</v>
      </c>
      <c r="J83" t="s">
        <v>91</v>
      </c>
      <c r="K83" t="s">
        <v>98</v>
      </c>
      <c r="L83" s="5">
        <v>45719</v>
      </c>
      <c r="M83" s="7">
        <v>0.2013888888888889</v>
      </c>
      <c r="N83" s="7">
        <v>0.35069444444444442</v>
      </c>
      <c r="O83" t="s">
        <v>202</v>
      </c>
      <c r="P83" t="s">
        <v>93</v>
      </c>
      <c r="Q83">
        <v>340</v>
      </c>
      <c r="R83">
        <v>13.2</v>
      </c>
      <c r="S83" t="s">
        <v>111</v>
      </c>
      <c r="T83">
        <v>0</v>
      </c>
      <c r="U83" t="s">
        <v>95</v>
      </c>
      <c r="V83" t="s">
        <v>112</v>
      </c>
      <c r="W83">
        <v>2100</v>
      </c>
    </row>
    <row r="84" spans="1:24" x14ac:dyDescent="0.35">
      <c r="A84" t="s">
        <v>301</v>
      </c>
      <c r="B84" t="s">
        <v>55</v>
      </c>
      <c r="C84">
        <v>36</v>
      </c>
      <c r="D84" t="s">
        <v>11</v>
      </c>
      <c r="E84" t="s">
        <v>12</v>
      </c>
      <c r="F84" s="3" t="s">
        <v>204</v>
      </c>
      <c r="G84" t="s">
        <v>13</v>
      </c>
      <c r="H84" t="s">
        <v>57</v>
      </c>
      <c r="I84" t="s">
        <v>22</v>
      </c>
      <c r="J84" t="s">
        <v>121</v>
      </c>
      <c r="K84" t="s">
        <v>97</v>
      </c>
      <c r="L84" s="5">
        <v>45720</v>
      </c>
      <c r="M84" s="7">
        <v>0.52777777777777779</v>
      </c>
      <c r="N84" s="7">
        <v>0.63194444444444442</v>
      </c>
      <c r="O84" t="s">
        <v>205</v>
      </c>
      <c r="P84" t="s">
        <v>93</v>
      </c>
      <c r="Q84">
        <v>150</v>
      </c>
      <c r="R84">
        <v>12.8</v>
      </c>
      <c r="S84" t="s">
        <v>94</v>
      </c>
      <c r="T84">
        <v>0</v>
      </c>
      <c r="U84" t="s">
        <v>102</v>
      </c>
      <c r="V84" t="s">
        <v>103</v>
      </c>
      <c r="W84">
        <v>1900</v>
      </c>
    </row>
    <row r="85" spans="1:24" x14ac:dyDescent="0.35">
      <c r="A85" t="s">
        <v>302</v>
      </c>
      <c r="B85" t="s">
        <v>59</v>
      </c>
      <c r="C85">
        <v>30</v>
      </c>
      <c r="D85" t="s">
        <v>18</v>
      </c>
      <c r="E85" t="s">
        <v>43</v>
      </c>
      <c r="F85" t="s">
        <v>207</v>
      </c>
      <c r="G85" t="s">
        <v>21</v>
      </c>
      <c r="H85" t="s">
        <v>15</v>
      </c>
      <c r="I85" t="s">
        <v>45</v>
      </c>
      <c r="J85" t="s">
        <v>91</v>
      </c>
      <c r="K85" t="s">
        <v>116</v>
      </c>
      <c r="L85" s="5">
        <v>45720</v>
      </c>
      <c r="M85" s="7">
        <v>0.1423611111111111</v>
      </c>
      <c r="N85" s="7">
        <v>0.46180555555555558</v>
      </c>
      <c r="O85" t="s">
        <v>208</v>
      </c>
      <c r="P85" t="s">
        <v>118</v>
      </c>
      <c r="Q85">
        <v>990</v>
      </c>
      <c r="R85">
        <v>21.5</v>
      </c>
      <c r="S85" t="s">
        <v>101</v>
      </c>
      <c r="T85">
        <v>35</v>
      </c>
      <c r="U85" t="s">
        <v>95</v>
      </c>
      <c r="V85" t="s">
        <v>96</v>
      </c>
      <c r="W85">
        <v>6100</v>
      </c>
    </row>
    <row r="86" spans="1:24" x14ac:dyDescent="0.35">
      <c r="A86" t="s">
        <v>303</v>
      </c>
      <c r="B86" t="s">
        <v>62</v>
      </c>
      <c r="C86">
        <v>52</v>
      </c>
      <c r="D86" t="s">
        <v>11</v>
      </c>
      <c r="E86" t="s">
        <v>26</v>
      </c>
      <c r="F86" t="s">
        <v>63</v>
      </c>
      <c r="G86" t="s">
        <v>21</v>
      </c>
      <c r="H86" t="s">
        <v>22</v>
      </c>
      <c r="I86" t="s">
        <v>23</v>
      </c>
      <c r="J86" t="s">
        <v>97</v>
      </c>
      <c r="K86" t="s">
        <v>98</v>
      </c>
      <c r="L86" s="5">
        <v>45721</v>
      </c>
      <c r="M86" s="7">
        <v>0.98958333333333337</v>
      </c>
      <c r="N86" s="7">
        <v>0.13194444444444445</v>
      </c>
      <c r="O86" t="s">
        <v>210</v>
      </c>
      <c r="P86" t="s">
        <v>100</v>
      </c>
      <c r="Q86">
        <v>1200</v>
      </c>
      <c r="R86">
        <v>29</v>
      </c>
      <c r="S86" t="s">
        <v>94</v>
      </c>
      <c r="T86">
        <v>0</v>
      </c>
      <c r="U86" t="s">
        <v>107</v>
      </c>
      <c r="V86" t="s">
        <v>125</v>
      </c>
      <c r="W86">
        <v>14000</v>
      </c>
    </row>
    <row r="87" spans="1:24" x14ac:dyDescent="0.35">
      <c r="A87" t="s">
        <v>304</v>
      </c>
      <c r="B87" t="s">
        <v>65</v>
      </c>
      <c r="C87">
        <v>24</v>
      </c>
      <c r="D87" t="s">
        <v>18</v>
      </c>
      <c r="E87" t="s">
        <v>12</v>
      </c>
      <c r="F87" s="3" t="s">
        <v>66</v>
      </c>
      <c r="G87" t="s">
        <v>13</v>
      </c>
      <c r="H87" t="s">
        <v>39</v>
      </c>
      <c r="I87" t="s">
        <v>15</v>
      </c>
      <c r="J87" t="s">
        <v>113</v>
      </c>
      <c r="K87" t="s">
        <v>91</v>
      </c>
      <c r="L87" s="5">
        <v>45721</v>
      </c>
      <c r="M87" s="7">
        <v>0.26041666666666669</v>
      </c>
      <c r="N87" s="7">
        <v>0.36805555555555558</v>
      </c>
      <c r="O87" t="s">
        <v>212</v>
      </c>
      <c r="P87" t="s">
        <v>93</v>
      </c>
      <c r="Q87">
        <v>160</v>
      </c>
      <c r="R87">
        <v>10.4</v>
      </c>
      <c r="S87" t="s">
        <v>111</v>
      </c>
      <c r="T87">
        <v>0</v>
      </c>
      <c r="U87" t="s">
        <v>102</v>
      </c>
      <c r="V87" t="s">
        <v>112</v>
      </c>
      <c r="W87">
        <v>900</v>
      </c>
    </row>
    <row r="88" spans="1:24" x14ac:dyDescent="0.35">
      <c r="A88" t="s">
        <v>305</v>
      </c>
      <c r="B88" t="s">
        <v>68</v>
      </c>
      <c r="C88">
        <v>40</v>
      </c>
      <c r="D88" t="s">
        <v>11</v>
      </c>
      <c r="E88" t="s">
        <v>37</v>
      </c>
      <c r="F88" t="s">
        <v>214</v>
      </c>
      <c r="G88" t="s">
        <v>21</v>
      </c>
      <c r="H88" t="s">
        <v>33</v>
      </c>
      <c r="I88" t="s">
        <v>34</v>
      </c>
      <c r="J88" t="s">
        <v>108</v>
      </c>
      <c r="K88" t="s">
        <v>109</v>
      </c>
      <c r="L88" s="5">
        <v>45722</v>
      </c>
      <c r="M88" s="7">
        <v>0.88194444444444442</v>
      </c>
      <c r="N88" s="7">
        <v>0.125</v>
      </c>
      <c r="O88" t="s">
        <v>127</v>
      </c>
      <c r="P88" t="s">
        <v>100</v>
      </c>
      <c r="Q88">
        <v>1340</v>
      </c>
      <c r="R88">
        <v>22.6</v>
      </c>
      <c r="S88" t="s">
        <v>94</v>
      </c>
      <c r="T88">
        <v>0</v>
      </c>
      <c r="U88" t="s">
        <v>95</v>
      </c>
      <c r="V88" t="s">
        <v>103</v>
      </c>
      <c r="W88">
        <v>8700</v>
      </c>
    </row>
    <row r="89" spans="1:24" x14ac:dyDescent="0.35">
      <c r="A89" t="s">
        <v>306</v>
      </c>
      <c r="B89" t="s">
        <v>71</v>
      </c>
      <c r="C89">
        <v>33</v>
      </c>
      <c r="D89" t="s">
        <v>18</v>
      </c>
      <c r="E89" t="s">
        <v>43</v>
      </c>
      <c r="F89" t="s">
        <v>72</v>
      </c>
      <c r="G89" t="s">
        <v>21</v>
      </c>
      <c r="H89" t="s">
        <v>15</v>
      </c>
      <c r="I89" t="s">
        <v>40</v>
      </c>
      <c r="J89" t="s">
        <v>91</v>
      </c>
      <c r="K89" t="s">
        <v>114</v>
      </c>
      <c r="L89" s="5">
        <v>45722</v>
      </c>
      <c r="M89" s="7">
        <v>0.11805555555555555</v>
      </c>
      <c r="N89" s="7">
        <v>0.64583333333333337</v>
      </c>
      <c r="O89" t="s">
        <v>128</v>
      </c>
      <c r="P89" t="s">
        <v>106</v>
      </c>
      <c r="Q89">
        <v>2600</v>
      </c>
      <c r="R89">
        <v>31.4</v>
      </c>
      <c r="S89" t="s">
        <v>101</v>
      </c>
      <c r="T89">
        <v>90</v>
      </c>
      <c r="U89" t="s">
        <v>107</v>
      </c>
      <c r="V89" t="s">
        <v>96</v>
      </c>
      <c r="W89">
        <v>15000</v>
      </c>
    </row>
    <row r="90" spans="1:24" x14ac:dyDescent="0.35">
      <c r="A90" t="s">
        <v>307</v>
      </c>
      <c r="B90" t="s">
        <v>74</v>
      </c>
      <c r="C90">
        <v>47</v>
      </c>
      <c r="D90" t="s">
        <v>11</v>
      </c>
      <c r="E90" t="s">
        <v>19</v>
      </c>
      <c r="F90" t="s">
        <v>75</v>
      </c>
      <c r="G90" t="s">
        <v>21</v>
      </c>
      <c r="H90" t="s">
        <v>14</v>
      </c>
      <c r="I90" t="s">
        <v>23</v>
      </c>
      <c r="J90" t="s">
        <v>90</v>
      </c>
      <c r="K90" t="s">
        <v>98</v>
      </c>
      <c r="L90" s="5">
        <v>45723</v>
      </c>
      <c r="M90" s="7">
        <v>0.54513888888888884</v>
      </c>
      <c r="N90" s="7">
        <v>0.71875</v>
      </c>
      <c r="O90" t="s">
        <v>129</v>
      </c>
      <c r="P90" t="s">
        <v>93</v>
      </c>
      <c r="Q90">
        <v>390</v>
      </c>
      <c r="R90">
        <v>16.100000000000001</v>
      </c>
      <c r="S90" t="s">
        <v>94</v>
      </c>
      <c r="T90">
        <v>0</v>
      </c>
      <c r="U90" t="s">
        <v>95</v>
      </c>
      <c r="V90" t="s">
        <v>103</v>
      </c>
      <c r="W90">
        <v>3000</v>
      </c>
    </row>
    <row r="91" spans="1:24" x14ac:dyDescent="0.35">
      <c r="A91" t="s">
        <v>308</v>
      </c>
      <c r="B91" t="s">
        <v>131</v>
      </c>
      <c r="C91">
        <v>28</v>
      </c>
      <c r="D91" t="s">
        <v>18</v>
      </c>
      <c r="E91" t="s">
        <v>52</v>
      </c>
      <c r="F91" t="s">
        <v>132</v>
      </c>
      <c r="G91" t="s">
        <v>21</v>
      </c>
      <c r="H91" t="s">
        <v>33</v>
      </c>
      <c r="I91" t="s">
        <v>28</v>
      </c>
      <c r="J91" t="s">
        <v>108</v>
      </c>
      <c r="K91" t="s">
        <v>104</v>
      </c>
      <c r="L91" s="5">
        <v>45723</v>
      </c>
      <c r="M91" s="7">
        <v>0.32291666666666669</v>
      </c>
      <c r="N91" s="7">
        <v>0.75694444444444442</v>
      </c>
      <c r="O91" t="s">
        <v>133</v>
      </c>
      <c r="P91" t="s">
        <v>118</v>
      </c>
      <c r="Q91">
        <v>980</v>
      </c>
      <c r="R91">
        <v>21</v>
      </c>
      <c r="S91" t="s">
        <v>111</v>
      </c>
      <c r="T91">
        <v>0</v>
      </c>
      <c r="U91" t="s">
        <v>102</v>
      </c>
      <c r="V91" t="s">
        <v>96</v>
      </c>
      <c r="W91">
        <v>7200</v>
      </c>
    </row>
    <row r="92" spans="1:24" x14ac:dyDescent="0.35">
      <c r="A92" t="s">
        <v>309</v>
      </c>
      <c r="B92" t="s">
        <v>135</v>
      </c>
      <c r="C92">
        <v>39</v>
      </c>
      <c r="D92" t="s">
        <v>11</v>
      </c>
      <c r="E92" t="s">
        <v>12</v>
      </c>
      <c r="F92" s="3" t="s">
        <v>136</v>
      </c>
      <c r="G92" t="s">
        <v>13</v>
      </c>
      <c r="H92" t="s">
        <v>15</v>
      </c>
      <c r="I92" t="s">
        <v>22</v>
      </c>
      <c r="J92" t="s">
        <v>91</v>
      </c>
      <c r="K92" t="s">
        <v>97</v>
      </c>
      <c r="L92" s="5">
        <v>45724</v>
      </c>
      <c r="M92" s="7">
        <v>0.47916666666666669</v>
      </c>
      <c r="N92" s="7">
        <v>0.56944444444444442</v>
      </c>
      <c r="O92" t="s">
        <v>137</v>
      </c>
      <c r="P92" t="s">
        <v>93</v>
      </c>
      <c r="Q92">
        <v>110</v>
      </c>
      <c r="R92">
        <v>8.6</v>
      </c>
      <c r="S92" t="s">
        <v>94</v>
      </c>
      <c r="T92">
        <v>0</v>
      </c>
      <c r="U92" t="s">
        <v>95</v>
      </c>
      <c r="V92" t="s">
        <v>103</v>
      </c>
      <c r="W92">
        <v>1500</v>
      </c>
    </row>
    <row r="93" spans="1:24" x14ac:dyDescent="0.35">
      <c r="A93" t="s">
        <v>310</v>
      </c>
      <c r="B93" t="s">
        <v>139</v>
      </c>
      <c r="C93">
        <v>26</v>
      </c>
      <c r="D93" t="s">
        <v>18</v>
      </c>
      <c r="E93" t="s">
        <v>19</v>
      </c>
      <c r="F93" t="s">
        <v>140</v>
      </c>
      <c r="G93" t="s">
        <v>13</v>
      </c>
      <c r="H93" t="s">
        <v>57</v>
      </c>
      <c r="I93" t="s">
        <v>39</v>
      </c>
      <c r="J93" t="s">
        <v>121</v>
      </c>
      <c r="K93" t="s">
        <v>113</v>
      </c>
      <c r="L93" s="5">
        <v>45724</v>
      </c>
      <c r="M93" s="7">
        <v>0.66666666666666663</v>
      </c>
      <c r="N93" s="7">
        <v>0.76736111111111116</v>
      </c>
      <c r="O93" t="s">
        <v>141</v>
      </c>
      <c r="P93" t="s">
        <v>93</v>
      </c>
      <c r="Q93">
        <v>140</v>
      </c>
      <c r="R93">
        <v>11.2</v>
      </c>
      <c r="S93" t="s">
        <v>101</v>
      </c>
      <c r="T93">
        <v>20</v>
      </c>
      <c r="U93" t="s">
        <v>95</v>
      </c>
      <c r="V93" t="s">
        <v>96</v>
      </c>
      <c r="W93">
        <v>2700</v>
      </c>
    </row>
    <row r="94" spans="1:24" x14ac:dyDescent="0.35">
      <c r="A94" t="s">
        <v>311</v>
      </c>
      <c r="B94" t="s">
        <v>143</v>
      </c>
      <c r="C94">
        <v>50</v>
      </c>
      <c r="D94" t="s">
        <v>11</v>
      </c>
      <c r="E94" t="s">
        <v>26</v>
      </c>
      <c r="F94" t="s">
        <v>144</v>
      </c>
      <c r="G94" t="s">
        <v>21</v>
      </c>
      <c r="H94" t="s">
        <v>14</v>
      </c>
      <c r="I94" t="s">
        <v>34</v>
      </c>
      <c r="J94" t="s">
        <v>90</v>
      </c>
      <c r="K94" t="s">
        <v>109</v>
      </c>
      <c r="L94" s="5">
        <v>45725</v>
      </c>
      <c r="M94" s="7">
        <v>0.88194444444444442</v>
      </c>
      <c r="N94" s="7">
        <v>0.2013888888888889</v>
      </c>
      <c r="O94" t="s">
        <v>145</v>
      </c>
      <c r="P94" t="s">
        <v>100</v>
      </c>
      <c r="Q94">
        <v>1450</v>
      </c>
      <c r="R94">
        <v>25.9</v>
      </c>
      <c r="S94" t="s">
        <v>94</v>
      </c>
      <c r="T94">
        <v>0</v>
      </c>
      <c r="U94" t="s">
        <v>107</v>
      </c>
      <c r="V94" t="s">
        <v>125</v>
      </c>
      <c r="W94">
        <v>11800</v>
      </c>
    </row>
    <row r="95" spans="1:24" x14ac:dyDescent="0.35">
      <c r="A95" t="s">
        <v>312</v>
      </c>
      <c r="B95" t="s">
        <v>222</v>
      </c>
      <c r="C95">
        <v>31</v>
      </c>
      <c r="D95" t="s">
        <v>18</v>
      </c>
      <c r="E95" t="s">
        <v>31</v>
      </c>
      <c r="F95" t="s">
        <v>148</v>
      </c>
      <c r="G95" t="s">
        <v>21</v>
      </c>
      <c r="H95" t="s">
        <v>15</v>
      </c>
      <c r="I95" t="s">
        <v>23</v>
      </c>
      <c r="J95" t="s">
        <v>91</v>
      </c>
      <c r="K95" t="s">
        <v>98</v>
      </c>
      <c r="L95" s="5">
        <v>45725</v>
      </c>
      <c r="M95" s="7">
        <v>0.18402777777777779</v>
      </c>
      <c r="N95" s="7">
        <v>0.33333333333333331</v>
      </c>
      <c r="O95" t="s">
        <v>149</v>
      </c>
      <c r="P95" t="s">
        <v>93</v>
      </c>
      <c r="Q95">
        <v>330</v>
      </c>
      <c r="R95">
        <v>13.5</v>
      </c>
      <c r="S95" t="s">
        <v>111</v>
      </c>
      <c r="T95">
        <v>0</v>
      </c>
      <c r="U95" t="s">
        <v>102</v>
      </c>
      <c r="V95" t="s">
        <v>112</v>
      </c>
      <c r="W95">
        <v>2100</v>
      </c>
    </row>
    <row r="96" spans="1:24" x14ac:dyDescent="0.35">
      <c r="A96" t="s">
        <v>313</v>
      </c>
      <c r="B96" t="s">
        <v>224</v>
      </c>
      <c r="C96">
        <v>44</v>
      </c>
      <c r="D96" t="s">
        <v>11</v>
      </c>
      <c r="E96" t="s">
        <v>12</v>
      </c>
      <c r="F96" s="11" t="s">
        <v>225</v>
      </c>
      <c r="G96" t="s">
        <v>13</v>
      </c>
      <c r="H96" t="s">
        <v>22</v>
      </c>
      <c r="I96" t="s">
        <v>57</v>
      </c>
      <c r="J96" t="s">
        <v>97</v>
      </c>
      <c r="K96" t="s">
        <v>121</v>
      </c>
      <c r="L96" s="5">
        <v>45726</v>
      </c>
      <c r="M96" s="7">
        <v>0.38194444444444442</v>
      </c>
      <c r="N96" s="7">
        <v>0.4861111111111111</v>
      </c>
      <c r="O96" t="s">
        <v>226</v>
      </c>
      <c r="P96" t="s">
        <v>93</v>
      </c>
      <c r="Q96">
        <v>125</v>
      </c>
      <c r="R96">
        <v>12</v>
      </c>
      <c r="S96" t="s">
        <v>94</v>
      </c>
      <c r="T96">
        <v>0</v>
      </c>
      <c r="U96" t="s">
        <v>95</v>
      </c>
      <c r="V96" t="s">
        <v>103</v>
      </c>
      <c r="W96">
        <v>2100</v>
      </c>
      <c r="X96" s="4"/>
    </row>
    <row r="97" spans="1:23" x14ac:dyDescent="0.35">
      <c r="A97" t="s">
        <v>314</v>
      </c>
      <c r="B97" t="s">
        <v>30</v>
      </c>
      <c r="C97">
        <v>25</v>
      </c>
      <c r="D97" t="s">
        <v>18</v>
      </c>
      <c r="E97" t="s">
        <v>19</v>
      </c>
      <c r="F97" t="s">
        <v>20</v>
      </c>
      <c r="G97" t="s">
        <v>21</v>
      </c>
      <c r="H97" t="s">
        <v>15</v>
      </c>
      <c r="I97" t="s">
        <v>28</v>
      </c>
      <c r="J97" t="s">
        <v>91</v>
      </c>
      <c r="K97" t="s">
        <v>104</v>
      </c>
      <c r="L97" s="5">
        <v>45726</v>
      </c>
      <c r="M97" s="7">
        <v>5.2083333333333336E-2</v>
      </c>
      <c r="N97" s="7">
        <v>0.40972222222222221</v>
      </c>
      <c r="O97" t="s">
        <v>99</v>
      </c>
      <c r="P97" t="s">
        <v>100</v>
      </c>
      <c r="Q97">
        <v>860</v>
      </c>
      <c r="R97">
        <v>24</v>
      </c>
      <c r="S97" t="s">
        <v>101</v>
      </c>
      <c r="T97">
        <v>50</v>
      </c>
      <c r="U97" t="s">
        <v>102</v>
      </c>
      <c r="V97" t="s">
        <v>96</v>
      </c>
      <c r="W97">
        <v>8400</v>
      </c>
    </row>
    <row r="98" spans="1:23" x14ac:dyDescent="0.35">
      <c r="A98" t="s">
        <v>315</v>
      </c>
      <c r="B98" t="s">
        <v>36</v>
      </c>
      <c r="C98">
        <v>38</v>
      </c>
      <c r="D98" t="s">
        <v>11</v>
      </c>
      <c r="E98" t="s">
        <v>37</v>
      </c>
      <c r="F98" t="s">
        <v>38</v>
      </c>
      <c r="G98" t="s">
        <v>21</v>
      </c>
      <c r="H98" t="s">
        <v>39</v>
      </c>
      <c r="I98" t="s">
        <v>40</v>
      </c>
      <c r="J98" t="s">
        <v>113</v>
      </c>
      <c r="K98" t="s">
        <v>114</v>
      </c>
      <c r="L98" s="5">
        <v>45727</v>
      </c>
      <c r="M98" s="7">
        <v>0.91666666666666663</v>
      </c>
      <c r="N98" s="7">
        <v>0.57291666666666663</v>
      </c>
      <c r="O98" t="s">
        <v>115</v>
      </c>
      <c r="P98" t="s">
        <v>100</v>
      </c>
      <c r="Q98">
        <v>1980</v>
      </c>
      <c r="R98">
        <v>27.5</v>
      </c>
      <c r="S98" t="s">
        <v>94</v>
      </c>
      <c r="T98">
        <v>0</v>
      </c>
      <c r="U98" t="s">
        <v>102</v>
      </c>
      <c r="V98" t="s">
        <v>103</v>
      </c>
      <c r="W98">
        <v>9700</v>
      </c>
    </row>
    <row r="99" spans="1:23" x14ac:dyDescent="0.35">
      <c r="A99" t="s">
        <v>316</v>
      </c>
      <c r="B99" t="s">
        <v>42</v>
      </c>
      <c r="C99">
        <v>31</v>
      </c>
      <c r="D99" t="s">
        <v>18</v>
      </c>
      <c r="E99" t="s">
        <v>43</v>
      </c>
      <c r="F99" t="s">
        <v>44</v>
      </c>
      <c r="G99" t="s">
        <v>21</v>
      </c>
      <c r="H99" t="s">
        <v>15</v>
      </c>
      <c r="I99" t="s">
        <v>45</v>
      </c>
      <c r="J99" t="s">
        <v>91</v>
      </c>
      <c r="K99" t="s">
        <v>116</v>
      </c>
      <c r="L99" s="5">
        <v>45727</v>
      </c>
      <c r="M99" s="7">
        <v>0.15625</v>
      </c>
      <c r="N99" s="7">
        <v>0.47222222222222221</v>
      </c>
      <c r="O99" t="s">
        <v>117</v>
      </c>
      <c r="P99" t="s">
        <v>118</v>
      </c>
      <c r="Q99">
        <v>980</v>
      </c>
      <c r="R99">
        <v>19.3</v>
      </c>
      <c r="S99" t="s">
        <v>94</v>
      </c>
      <c r="T99">
        <v>0</v>
      </c>
      <c r="U99" t="s">
        <v>95</v>
      </c>
      <c r="V99" t="s">
        <v>96</v>
      </c>
      <c r="W99">
        <v>5400</v>
      </c>
    </row>
    <row r="100" spans="1:23" x14ac:dyDescent="0.35">
      <c r="A100" t="s">
        <v>317</v>
      </c>
      <c r="B100" t="s">
        <v>231</v>
      </c>
      <c r="C100">
        <v>35</v>
      </c>
      <c r="D100" t="s">
        <v>11</v>
      </c>
      <c r="E100" t="s">
        <v>26</v>
      </c>
      <c r="F100" t="s">
        <v>232</v>
      </c>
      <c r="G100" t="s">
        <v>21</v>
      </c>
      <c r="H100" t="s">
        <v>22</v>
      </c>
      <c r="I100" t="s">
        <v>28</v>
      </c>
      <c r="J100" t="s">
        <v>97</v>
      </c>
      <c r="K100" t="s">
        <v>104</v>
      </c>
      <c r="L100" s="5">
        <v>45728</v>
      </c>
      <c r="M100" s="7">
        <v>9.0277777777777776E-2</v>
      </c>
      <c r="N100" s="7">
        <v>0.36805555555555558</v>
      </c>
      <c r="O100" t="s">
        <v>119</v>
      </c>
      <c r="P100" t="s">
        <v>100</v>
      </c>
      <c r="Q100">
        <v>1800</v>
      </c>
      <c r="R100">
        <v>26.5</v>
      </c>
      <c r="S100" t="s">
        <v>94</v>
      </c>
      <c r="T100">
        <v>0</v>
      </c>
      <c r="U100" t="s">
        <v>107</v>
      </c>
      <c r="V100" t="s">
        <v>103</v>
      </c>
      <c r="W100">
        <v>12000</v>
      </c>
    </row>
    <row r="101" spans="1:23" x14ac:dyDescent="0.35">
      <c r="A101" t="s">
        <v>318</v>
      </c>
      <c r="B101" t="s">
        <v>234</v>
      </c>
      <c r="C101">
        <v>28</v>
      </c>
      <c r="D101" t="s">
        <v>18</v>
      </c>
      <c r="E101" t="s">
        <v>12</v>
      </c>
      <c r="F101" s="3" t="s">
        <v>235</v>
      </c>
      <c r="G101" t="s">
        <v>13</v>
      </c>
      <c r="H101" t="s">
        <v>14</v>
      </c>
      <c r="I101" t="s">
        <v>15</v>
      </c>
      <c r="J101" t="s">
        <v>90</v>
      </c>
      <c r="K101" t="s">
        <v>91</v>
      </c>
      <c r="L101" s="5">
        <v>45728</v>
      </c>
      <c r="M101" s="7">
        <v>0.28125</v>
      </c>
      <c r="N101" s="7">
        <v>0.3888888888888889</v>
      </c>
      <c r="O101" t="s">
        <v>236</v>
      </c>
      <c r="P101" t="s">
        <v>93</v>
      </c>
      <c r="Q101">
        <v>150</v>
      </c>
      <c r="R101">
        <v>11.2</v>
      </c>
      <c r="S101" t="s">
        <v>101</v>
      </c>
      <c r="T101">
        <v>30</v>
      </c>
      <c r="U101" t="s">
        <v>102</v>
      </c>
      <c r="V101" t="s">
        <v>96</v>
      </c>
      <c r="W101">
        <v>3200</v>
      </c>
    </row>
    <row r="102" spans="1:23" x14ac:dyDescent="0.35">
      <c r="A102" t="s">
        <v>319</v>
      </c>
      <c r="B102" t="s">
        <v>25</v>
      </c>
      <c r="C102">
        <v>41</v>
      </c>
      <c r="D102" t="s">
        <v>11</v>
      </c>
      <c r="E102" t="s">
        <v>26</v>
      </c>
      <c r="F102" t="s">
        <v>27</v>
      </c>
      <c r="G102" t="s">
        <v>21</v>
      </c>
      <c r="H102" t="s">
        <v>15</v>
      </c>
      <c r="I102" t="s">
        <v>28</v>
      </c>
      <c r="J102" t="s">
        <v>91</v>
      </c>
      <c r="K102" t="s">
        <v>104</v>
      </c>
      <c r="L102" s="5">
        <v>45729</v>
      </c>
      <c r="M102" s="7">
        <v>5.5555555555555552E-2</v>
      </c>
      <c r="N102" s="7">
        <v>0.41319444444444442</v>
      </c>
      <c r="O102" t="s">
        <v>105</v>
      </c>
      <c r="P102" t="s">
        <v>106</v>
      </c>
      <c r="Q102">
        <v>2450</v>
      </c>
      <c r="R102">
        <v>30.2</v>
      </c>
      <c r="S102" t="s">
        <v>94</v>
      </c>
      <c r="T102">
        <v>0</v>
      </c>
      <c r="U102" t="s">
        <v>107</v>
      </c>
      <c r="V102" t="s">
        <v>103</v>
      </c>
      <c r="W102">
        <v>13200</v>
      </c>
    </row>
    <row r="103" spans="1:23" x14ac:dyDescent="0.35">
      <c r="A103" t="s">
        <v>320</v>
      </c>
      <c r="B103" t="s">
        <v>30</v>
      </c>
      <c r="C103">
        <v>25</v>
      </c>
      <c r="D103" t="s">
        <v>18</v>
      </c>
      <c r="E103" t="s">
        <v>31</v>
      </c>
      <c r="F103" t="s">
        <v>32</v>
      </c>
      <c r="G103" t="s">
        <v>21</v>
      </c>
      <c r="H103" t="s">
        <v>33</v>
      </c>
      <c r="I103" t="s">
        <v>34</v>
      </c>
      <c r="J103" t="s">
        <v>108</v>
      </c>
      <c r="K103" t="s">
        <v>109</v>
      </c>
      <c r="L103" s="5">
        <v>45729</v>
      </c>
      <c r="M103" s="7">
        <v>0.34027777777777779</v>
      </c>
      <c r="N103" s="7">
        <v>0.58333333333333337</v>
      </c>
      <c r="O103" t="s">
        <v>110</v>
      </c>
      <c r="P103" t="s">
        <v>93</v>
      </c>
      <c r="Q103">
        <v>420</v>
      </c>
      <c r="R103">
        <v>15.6</v>
      </c>
      <c r="S103" t="s">
        <v>111</v>
      </c>
      <c r="T103">
        <v>0</v>
      </c>
      <c r="U103" t="s">
        <v>95</v>
      </c>
      <c r="V103" t="s">
        <v>112</v>
      </c>
      <c r="W103">
        <v>3500</v>
      </c>
    </row>
    <row r="104" spans="1:23" x14ac:dyDescent="0.35">
      <c r="A104" t="s">
        <v>321</v>
      </c>
      <c r="B104" t="s">
        <v>36</v>
      </c>
      <c r="C104">
        <v>38</v>
      </c>
      <c r="D104" t="s">
        <v>11</v>
      </c>
      <c r="E104" t="s">
        <v>37</v>
      </c>
      <c r="F104" t="s">
        <v>38</v>
      </c>
      <c r="G104" t="s">
        <v>21</v>
      </c>
      <c r="H104" t="s">
        <v>39</v>
      </c>
      <c r="I104" t="s">
        <v>40</v>
      </c>
      <c r="J104" t="s">
        <v>113</v>
      </c>
      <c r="K104" t="s">
        <v>114</v>
      </c>
      <c r="L104" s="5">
        <v>45730</v>
      </c>
      <c r="M104" s="7">
        <v>0.91666666666666663</v>
      </c>
      <c r="N104" s="7">
        <v>0.57291666666666663</v>
      </c>
      <c r="O104" t="s">
        <v>115</v>
      </c>
      <c r="P104" t="s">
        <v>100</v>
      </c>
      <c r="Q104">
        <v>1980</v>
      </c>
      <c r="R104">
        <v>27.5</v>
      </c>
      <c r="S104" t="s">
        <v>94</v>
      </c>
      <c r="T104">
        <v>0</v>
      </c>
      <c r="U104" t="s">
        <v>102</v>
      </c>
      <c r="V104" t="s">
        <v>103</v>
      </c>
      <c r="W104">
        <v>9700</v>
      </c>
    </row>
    <row r="105" spans="1:23" x14ac:dyDescent="0.35">
      <c r="A105" t="s">
        <v>322</v>
      </c>
      <c r="B105" t="s">
        <v>42</v>
      </c>
      <c r="C105">
        <v>31</v>
      </c>
      <c r="D105" t="s">
        <v>18</v>
      </c>
      <c r="E105" t="s">
        <v>43</v>
      </c>
      <c r="F105" t="s">
        <v>44</v>
      </c>
      <c r="G105" t="s">
        <v>21</v>
      </c>
      <c r="H105" t="s">
        <v>15</v>
      </c>
      <c r="I105" t="s">
        <v>45</v>
      </c>
      <c r="J105" t="s">
        <v>91</v>
      </c>
      <c r="K105" t="s">
        <v>116</v>
      </c>
      <c r="L105" s="5">
        <v>45730</v>
      </c>
      <c r="M105" s="7">
        <v>0.15625</v>
      </c>
      <c r="N105" s="7">
        <v>0.47222222222222221</v>
      </c>
      <c r="O105" t="s">
        <v>117</v>
      </c>
      <c r="P105" t="s">
        <v>118</v>
      </c>
      <c r="Q105">
        <v>980</v>
      </c>
      <c r="R105">
        <v>19.3</v>
      </c>
      <c r="S105" t="s">
        <v>101</v>
      </c>
      <c r="T105">
        <v>35</v>
      </c>
      <c r="U105" t="s">
        <v>95</v>
      </c>
      <c r="V105" t="s">
        <v>96</v>
      </c>
      <c r="W105">
        <v>5400</v>
      </c>
    </row>
    <row r="106" spans="1:23" x14ac:dyDescent="0.35">
      <c r="A106" t="s">
        <v>323</v>
      </c>
      <c r="B106" t="s">
        <v>47</v>
      </c>
      <c r="C106">
        <v>45</v>
      </c>
      <c r="D106" t="s">
        <v>11</v>
      </c>
      <c r="E106" t="s">
        <v>48</v>
      </c>
      <c r="F106" t="s">
        <v>49</v>
      </c>
      <c r="G106" t="s">
        <v>21</v>
      </c>
      <c r="H106" t="s">
        <v>14</v>
      </c>
      <c r="I106" t="s">
        <v>28</v>
      </c>
      <c r="J106" t="s">
        <v>90</v>
      </c>
      <c r="K106" t="s">
        <v>104</v>
      </c>
      <c r="L106" s="5">
        <v>45731</v>
      </c>
      <c r="M106" s="7">
        <v>0.42708333333333331</v>
      </c>
      <c r="N106" s="7">
        <v>0.77083333333333337</v>
      </c>
      <c r="O106" t="s">
        <v>119</v>
      </c>
      <c r="P106" t="s">
        <v>100</v>
      </c>
      <c r="Q106">
        <v>1650</v>
      </c>
      <c r="R106">
        <v>26.8</v>
      </c>
      <c r="S106" t="s">
        <v>94</v>
      </c>
      <c r="T106">
        <v>0</v>
      </c>
      <c r="U106" t="s">
        <v>107</v>
      </c>
      <c r="V106" t="s">
        <v>103</v>
      </c>
      <c r="W106">
        <v>11000</v>
      </c>
    </row>
    <row r="107" spans="1:23" x14ac:dyDescent="0.35">
      <c r="A107" t="s">
        <v>324</v>
      </c>
      <c r="B107" t="s">
        <v>51</v>
      </c>
      <c r="C107">
        <v>27</v>
      </c>
      <c r="D107" t="s">
        <v>18</v>
      </c>
      <c r="E107" t="s">
        <v>52</v>
      </c>
      <c r="F107" t="s">
        <v>53</v>
      </c>
      <c r="G107" t="s">
        <v>21</v>
      </c>
      <c r="H107" t="s">
        <v>22</v>
      </c>
      <c r="I107" t="s">
        <v>40</v>
      </c>
      <c r="J107" t="s">
        <v>97</v>
      </c>
      <c r="K107" t="s">
        <v>114</v>
      </c>
      <c r="L107" s="5">
        <v>45731</v>
      </c>
      <c r="M107" s="7">
        <v>0.24305555555555555</v>
      </c>
      <c r="N107" s="7">
        <v>0.72222222222222221</v>
      </c>
      <c r="O107" t="s">
        <v>120</v>
      </c>
      <c r="P107" t="s">
        <v>93</v>
      </c>
      <c r="Q107">
        <v>740</v>
      </c>
      <c r="R107">
        <v>17.2</v>
      </c>
      <c r="S107" t="s">
        <v>111</v>
      </c>
      <c r="T107">
        <v>0</v>
      </c>
      <c r="U107" t="s">
        <v>95</v>
      </c>
      <c r="V107" t="s">
        <v>96</v>
      </c>
      <c r="W107">
        <v>4100</v>
      </c>
    </row>
    <row r="108" spans="1:23" x14ac:dyDescent="0.35">
      <c r="A108" t="s">
        <v>325</v>
      </c>
      <c r="B108" t="s">
        <v>55</v>
      </c>
      <c r="C108">
        <v>36</v>
      </c>
      <c r="D108" t="s">
        <v>11</v>
      </c>
      <c r="E108" t="s">
        <v>12</v>
      </c>
      <c r="F108" s="3" t="s">
        <v>56</v>
      </c>
      <c r="G108" t="s">
        <v>13</v>
      </c>
      <c r="H108" t="s">
        <v>57</v>
      </c>
      <c r="I108" t="s">
        <v>33</v>
      </c>
      <c r="J108" t="s">
        <v>121</v>
      </c>
      <c r="K108" t="s">
        <v>108</v>
      </c>
      <c r="L108" s="5">
        <v>45732</v>
      </c>
      <c r="M108" s="7">
        <v>0.60069444444444442</v>
      </c>
      <c r="N108" s="7">
        <v>0.71527777777777779</v>
      </c>
      <c r="O108" t="s">
        <v>122</v>
      </c>
      <c r="P108" t="s">
        <v>93</v>
      </c>
      <c r="Q108">
        <v>125</v>
      </c>
      <c r="R108">
        <v>12</v>
      </c>
      <c r="S108" t="s">
        <v>94</v>
      </c>
      <c r="T108">
        <v>0</v>
      </c>
      <c r="U108" t="s">
        <v>102</v>
      </c>
      <c r="V108" t="s">
        <v>103</v>
      </c>
      <c r="W108">
        <v>1800</v>
      </c>
    </row>
    <row r="109" spans="1:23" x14ac:dyDescent="0.35">
      <c r="A109" t="s">
        <v>326</v>
      </c>
      <c r="B109" t="s">
        <v>59</v>
      </c>
      <c r="C109">
        <v>30</v>
      </c>
      <c r="D109" t="s">
        <v>18</v>
      </c>
      <c r="E109" t="s">
        <v>19</v>
      </c>
      <c r="F109" t="s">
        <v>60</v>
      </c>
      <c r="G109" t="s">
        <v>13</v>
      </c>
      <c r="H109" t="s">
        <v>15</v>
      </c>
      <c r="I109" t="s">
        <v>14</v>
      </c>
      <c r="J109" t="s">
        <v>91</v>
      </c>
      <c r="K109" t="s">
        <v>90</v>
      </c>
      <c r="L109" s="5">
        <v>45732</v>
      </c>
      <c r="M109" s="7">
        <v>0.40277777777777779</v>
      </c>
      <c r="N109" s="7">
        <v>0.51736111111111116</v>
      </c>
      <c r="O109" t="s">
        <v>123</v>
      </c>
      <c r="P109" t="s">
        <v>118</v>
      </c>
      <c r="Q109">
        <v>310</v>
      </c>
      <c r="R109">
        <v>20.5</v>
      </c>
      <c r="S109" t="s">
        <v>101</v>
      </c>
      <c r="T109">
        <v>35</v>
      </c>
      <c r="U109" t="s">
        <v>95</v>
      </c>
      <c r="V109" t="s">
        <v>96</v>
      </c>
      <c r="W109">
        <v>6200</v>
      </c>
    </row>
    <row r="110" spans="1:23" x14ac:dyDescent="0.35">
      <c r="A110" t="s">
        <v>327</v>
      </c>
      <c r="B110" t="s">
        <v>62</v>
      </c>
      <c r="C110">
        <v>52</v>
      </c>
      <c r="D110" t="s">
        <v>11</v>
      </c>
      <c r="E110" t="s">
        <v>26</v>
      </c>
      <c r="F110" t="s">
        <v>63</v>
      </c>
      <c r="G110" t="s">
        <v>21</v>
      </c>
      <c r="H110" t="s">
        <v>22</v>
      </c>
      <c r="I110" t="s">
        <v>23</v>
      </c>
      <c r="J110" t="s">
        <v>97</v>
      </c>
      <c r="K110" t="s">
        <v>98</v>
      </c>
      <c r="L110" s="5">
        <v>45733</v>
      </c>
      <c r="M110" s="7">
        <v>0.96875</v>
      </c>
      <c r="N110" s="7">
        <v>0.12152777777777778</v>
      </c>
      <c r="O110" t="s">
        <v>124</v>
      </c>
      <c r="P110" t="s">
        <v>100</v>
      </c>
      <c r="Q110">
        <v>1200</v>
      </c>
      <c r="R110">
        <v>28</v>
      </c>
      <c r="S110" t="s">
        <v>94</v>
      </c>
      <c r="T110">
        <v>0</v>
      </c>
      <c r="U110" t="s">
        <v>107</v>
      </c>
      <c r="V110" t="s">
        <v>125</v>
      </c>
      <c r="W110">
        <v>14000</v>
      </c>
    </row>
    <row r="111" spans="1:23" x14ac:dyDescent="0.35">
      <c r="A111" t="s">
        <v>328</v>
      </c>
      <c r="B111" t="s">
        <v>65</v>
      </c>
      <c r="C111">
        <v>24</v>
      </c>
      <c r="D111" t="s">
        <v>18</v>
      </c>
      <c r="E111" t="s">
        <v>12</v>
      </c>
      <c r="F111" s="3" t="s">
        <v>66</v>
      </c>
      <c r="G111" t="s">
        <v>13</v>
      </c>
      <c r="H111" t="s">
        <v>39</v>
      </c>
      <c r="I111" t="s">
        <v>15</v>
      </c>
      <c r="J111" t="s">
        <v>113</v>
      </c>
      <c r="K111" t="s">
        <v>91</v>
      </c>
      <c r="L111" s="5">
        <v>45733</v>
      </c>
      <c r="M111" s="7">
        <v>0.25694444444444442</v>
      </c>
      <c r="N111" s="7">
        <v>0.3611111111111111</v>
      </c>
      <c r="O111" t="s">
        <v>126</v>
      </c>
      <c r="P111" t="s">
        <v>93</v>
      </c>
      <c r="Q111">
        <v>160</v>
      </c>
      <c r="R111">
        <v>10.4</v>
      </c>
      <c r="S111" t="s">
        <v>111</v>
      </c>
      <c r="T111">
        <v>0</v>
      </c>
      <c r="U111" t="s">
        <v>102</v>
      </c>
      <c r="V111" t="s">
        <v>112</v>
      </c>
      <c r="W111">
        <v>900</v>
      </c>
    </row>
    <row r="112" spans="1:23" x14ac:dyDescent="0.35">
      <c r="A112" t="s">
        <v>329</v>
      </c>
      <c r="B112" t="s">
        <v>68</v>
      </c>
      <c r="C112">
        <v>40</v>
      </c>
      <c r="D112" t="s">
        <v>11</v>
      </c>
      <c r="E112" t="s">
        <v>37</v>
      </c>
      <c r="F112" t="s">
        <v>69</v>
      </c>
      <c r="G112" t="s">
        <v>21</v>
      </c>
      <c r="H112" t="s">
        <v>33</v>
      </c>
      <c r="I112" t="s">
        <v>34</v>
      </c>
      <c r="J112" t="s">
        <v>108</v>
      </c>
      <c r="K112" t="s">
        <v>109</v>
      </c>
      <c r="L112" s="5">
        <v>45734</v>
      </c>
      <c r="M112" s="7">
        <v>0.84722222222222221</v>
      </c>
      <c r="N112" s="7">
        <v>9.0277777777777776E-2</v>
      </c>
      <c r="O112" t="s">
        <v>127</v>
      </c>
      <c r="P112" t="s">
        <v>100</v>
      </c>
      <c r="Q112">
        <v>1340</v>
      </c>
      <c r="R112">
        <v>22.6</v>
      </c>
      <c r="S112" t="s">
        <v>94</v>
      </c>
      <c r="T112">
        <v>0</v>
      </c>
      <c r="U112" t="s">
        <v>95</v>
      </c>
      <c r="V112" t="s">
        <v>103</v>
      </c>
      <c r="W112">
        <v>8700</v>
      </c>
    </row>
    <row r="113" spans="1:23" x14ac:dyDescent="0.35">
      <c r="A113" t="s">
        <v>330</v>
      </c>
      <c r="B113" t="s">
        <v>71</v>
      </c>
      <c r="C113">
        <v>33</v>
      </c>
      <c r="D113" t="s">
        <v>18</v>
      </c>
      <c r="E113" t="s">
        <v>43</v>
      </c>
      <c r="F113" t="s">
        <v>72</v>
      </c>
      <c r="G113" t="s">
        <v>21</v>
      </c>
      <c r="H113" t="s">
        <v>15</v>
      </c>
      <c r="I113" t="s">
        <v>40</v>
      </c>
      <c r="J113" t="s">
        <v>91</v>
      </c>
      <c r="K113" t="s">
        <v>114</v>
      </c>
      <c r="L113" s="5">
        <v>45734</v>
      </c>
      <c r="M113" s="7">
        <v>0.11805555555555555</v>
      </c>
      <c r="N113" s="7">
        <v>0.64583333333333337</v>
      </c>
      <c r="O113" t="s">
        <v>128</v>
      </c>
      <c r="P113" t="s">
        <v>106</v>
      </c>
      <c r="Q113">
        <v>2600</v>
      </c>
      <c r="R113">
        <v>31.4</v>
      </c>
      <c r="S113" t="s">
        <v>101</v>
      </c>
      <c r="T113">
        <v>90</v>
      </c>
      <c r="U113" t="s">
        <v>107</v>
      </c>
      <c r="V113" t="s">
        <v>96</v>
      </c>
      <c r="W113">
        <v>15000</v>
      </c>
    </row>
    <row r="114" spans="1:23" x14ac:dyDescent="0.35">
      <c r="A114" t="s">
        <v>331</v>
      </c>
      <c r="B114" t="s">
        <v>74</v>
      </c>
      <c r="C114">
        <v>47</v>
      </c>
      <c r="D114" t="s">
        <v>11</v>
      </c>
      <c r="E114" t="s">
        <v>19</v>
      </c>
      <c r="F114" t="s">
        <v>75</v>
      </c>
      <c r="G114" t="s">
        <v>21</v>
      </c>
      <c r="H114" t="s">
        <v>14</v>
      </c>
      <c r="I114" t="s">
        <v>23</v>
      </c>
      <c r="J114" t="s">
        <v>90</v>
      </c>
      <c r="K114" t="s">
        <v>98</v>
      </c>
      <c r="L114" s="5">
        <v>45735</v>
      </c>
      <c r="M114" s="7">
        <v>0.54513888888888884</v>
      </c>
      <c r="N114" s="7">
        <v>0.71875</v>
      </c>
      <c r="O114" t="s">
        <v>129</v>
      </c>
      <c r="P114" t="s">
        <v>93</v>
      </c>
      <c r="Q114">
        <v>390</v>
      </c>
      <c r="R114">
        <v>16.100000000000001</v>
      </c>
      <c r="S114" t="s">
        <v>94</v>
      </c>
      <c r="T114">
        <v>0</v>
      </c>
      <c r="U114" t="s">
        <v>95</v>
      </c>
      <c r="V114" t="s">
        <v>103</v>
      </c>
      <c r="W114">
        <v>3000</v>
      </c>
    </row>
    <row r="115" spans="1:23" x14ac:dyDescent="0.35">
      <c r="A115" t="s">
        <v>332</v>
      </c>
      <c r="B115" t="s">
        <v>131</v>
      </c>
      <c r="C115">
        <v>28</v>
      </c>
      <c r="D115" t="s">
        <v>18</v>
      </c>
      <c r="E115" t="s">
        <v>52</v>
      </c>
      <c r="F115" t="s">
        <v>132</v>
      </c>
      <c r="G115" t="s">
        <v>21</v>
      </c>
      <c r="H115" t="s">
        <v>33</v>
      </c>
      <c r="I115" t="s">
        <v>28</v>
      </c>
      <c r="J115" t="s">
        <v>108</v>
      </c>
      <c r="K115" t="s">
        <v>104</v>
      </c>
      <c r="L115" s="5">
        <v>45735</v>
      </c>
      <c r="M115" s="7">
        <v>0.32291666666666669</v>
      </c>
      <c r="N115" s="7">
        <v>0.75694444444444442</v>
      </c>
      <c r="O115" t="s">
        <v>133</v>
      </c>
      <c r="P115" t="s">
        <v>118</v>
      </c>
      <c r="Q115">
        <v>980</v>
      </c>
      <c r="R115">
        <v>21</v>
      </c>
      <c r="S115" t="s">
        <v>111</v>
      </c>
      <c r="T115">
        <v>0</v>
      </c>
      <c r="U115" t="s">
        <v>102</v>
      </c>
      <c r="V115" t="s">
        <v>96</v>
      </c>
      <c r="W115">
        <v>7200</v>
      </c>
    </row>
    <row r="116" spans="1:23" x14ac:dyDescent="0.35">
      <c r="A116" t="s">
        <v>333</v>
      </c>
      <c r="B116" t="s">
        <v>135</v>
      </c>
      <c r="C116">
        <v>39</v>
      </c>
      <c r="D116" t="s">
        <v>11</v>
      </c>
      <c r="E116" t="s">
        <v>12</v>
      </c>
      <c r="F116" s="3" t="s">
        <v>136</v>
      </c>
      <c r="G116" t="s">
        <v>13</v>
      </c>
      <c r="H116" t="s">
        <v>15</v>
      </c>
      <c r="I116" t="s">
        <v>22</v>
      </c>
      <c r="J116" t="s">
        <v>91</v>
      </c>
      <c r="K116" t="s">
        <v>97</v>
      </c>
      <c r="L116" s="5">
        <v>45736</v>
      </c>
      <c r="M116" s="7">
        <v>0.47916666666666669</v>
      </c>
      <c r="N116" s="7">
        <v>0.56944444444444442</v>
      </c>
      <c r="O116" t="s">
        <v>137</v>
      </c>
      <c r="P116" t="s">
        <v>93</v>
      </c>
      <c r="Q116">
        <v>110</v>
      </c>
      <c r="R116">
        <v>8.6</v>
      </c>
      <c r="S116" t="s">
        <v>94</v>
      </c>
      <c r="T116">
        <v>0</v>
      </c>
      <c r="U116" t="s">
        <v>95</v>
      </c>
      <c r="V116" t="s">
        <v>103</v>
      </c>
      <c r="W116">
        <v>1500</v>
      </c>
    </row>
    <row r="117" spans="1:23" x14ac:dyDescent="0.35">
      <c r="A117" t="s">
        <v>334</v>
      </c>
      <c r="B117" t="s">
        <v>139</v>
      </c>
      <c r="C117">
        <v>26</v>
      </c>
      <c r="D117" t="s">
        <v>18</v>
      </c>
      <c r="E117" t="s">
        <v>19</v>
      </c>
      <c r="F117" t="s">
        <v>140</v>
      </c>
      <c r="G117" t="s">
        <v>13</v>
      </c>
      <c r="H117" t="s">
        <v>57</v>
      </c>
      <c r="I117" t="s">
        <v>39</v>
      </c>
      <c r="J117" t="s">
        <v>121</v>
      </c>
      <c r="K117" t="s">
        <v>113</v>
      </c>
      <c r="L117" s="5">
        <v>45736</v>
      </c>
      <c r="M117" s="7">
        <v>0.66666666666666663</v>
      </c>
      <c r="N117" s="7">
        <v>0.76736111111111116</v>
      </c>
      <c r="O117" t="s">
        <v>141</v>
      </c>
      <c r="P117" t="s">
        <v>93</v>
      </c>
      <c r="Q117">
        <v>140</v>
      </c>
      <c r="R117">
        <v>11.2</v>
      </c>
      <c r="S117" t="s">
        <v>101</v>
      </c>
      <c r="T117">
        <v>20</v>
      </c>
      <c r="U117" t="s">
        <v>95</v>
      </c>
      <c r="V117" t="s">
        <v>96</v>
      </c>
      <c r="W117">
        <v>2700</v>
      </c>
    </row>
    <row r="118" spans="1:23" x14ac:dyDescent="0.35">
      <c r="A118" t="s">
        <v>335</v>
      </c>
      <c r="B118" t="s">
        <v>143</v>
      </c>
      <c r="C118">
        <v>50</v>
      </c>
      <c r="D118" t="s">
        <v>11</v>
      </c>
      <c r="E118" t="s">
        <v>26</v>
      </c>
      <c r="F118" t="s">
        <v>144</v>
      </c>
      <c r="G118" t="s">
        <v>21</v>
      </c>
      <c r="H118" t="s">
        <v>14</v>
      </c>
      <c r="I118" t="s">
        <v>34</v>
      </c>
      <c r="J118" t="s">
        <v>90</v>
      </c>
      <c r="K118" t="s">
        <v>109</v>
      </c>
      <c r="L118" s="5">
        <v>45737</v>
      </c>
      <c r="M118" s="7">
        <v>0.88194444444444442</v>
      </c>
      <c r="N118" s="7">
        <v>0.2013888888888889</v>
      </c>
      <c r="O118" t="s">
        <v>145</v>
      </c>
      <c r="P118" t="s">
        <v>100</v>
      </c>
      <c r="Q118">
        <v>1450</v>
      </c>
      <c r="R118">
        <v>25.9</v>
      </c>
      <c r="S118" t="s">
        <v>94</v>
      </c>
      <c r="T118">
        <v>0</v>
      </c>
      <c r="U118" t="s">
        <v>107</v>
      </c>
      <c r="V118" t="s">
        <v>125</v>
      </c>
      <c r="W118">
        <v>11800</v>
      </c>
    </row>
    <row r="119" spans="1:23" x14ac:dyDescent="0.35">
      <c r="A119" t="s">
        <v>336</v>
      </c>
      <c r="B119" t="s">
        <v>222</v>
      </c>
      <c r="C119">
        <v>31</v>
      </c>
      <c r="D119" t="s">
        <v>18</v>
      </c>
      <c r="E119" t="s">
        <v>31</v>
      </c>
      <c r="F119" t="s">
        <v>148</v>
      </c>
      <c r="G119" t="s">
        <v>21</v>
      </c>
      <c r="H119" t="s">
        <v>15</v>
      </c>
      <c r="I119" t="s">
        <v>23</v>
      </c>
      <c r="J119" t="s">
        <v>91</v>
      </c>
      <c r="K119" t="s">
        <v>98</v>
      </c>
      <c r="L119" s="5">
        <v>45737</v>
      </c>
      <c r="M119" s="7">
        <v>0.18402777777777779</v>
      </c>
      <c r="N119" s="7">
        <v>0.33333333333333331</v>
      </c>
      <c r="O119" t="s">
        <v>149</v>
      </c>
      <c r="P119" t="s">
        <v>93</v>
      </c>
      <c r="Q119">
        <v>330</v>
      </c>
      <c r="R119">
        <v>13.5</v>
      </c>
      <c r="S119" t="s">
        <v>111</v>
      </c>
      <c r="T119">
        <v>0</v>
      </c>
      <c r="U119" t="s">
        <v>102</v>
      </c>
      <c r="V119" t="s">
        <v>112</v>
      </c>
      <c r="W119">
        <v>2100</v>
      </c>
    </row>
    <row r="120" spans="1:23" x14ac:dyDescent="0.35">
      <c r="A120" t="s">
        <v>337</v>
      </c>
      <c r="B120" t="s">
        <v>224</v>
      </c>
      <c r="C120">
        <v>44</v>
      </c>
      <c r="D120" t="s">
        <v>11</v>
      </c>
      <c r="E120" t="s">
        <v>12</v>
      </c>
      <c r="F120" s="11" t="s">
        <v>225</v>
      </c>
      <c r="G120" t="s">
        <v>13</v>
      </c>
      <c r="H120" t="s">
        <v>22</v>
      </c>
      <c r="I120" t="s">
        <v>57</v>
      </c>
      <c r="J120" t="s">
        <v>97</v>
      </c>
      <c r="K120" t="s">
        <v>121</v>
      </c>
      <c r="L120" s="5">
        <v>45738</v>
      </c>
      <c r="M120" s="7">
        <v>0.38194444444444442</v>
      </c>
      <c r="N120" s="7">
        <v>0.4861111111111111</v>
      </c>
      <c r="O120" t="s">
        <v>226</v>
      </c>
      <c r="P120" t="s">
        <v>93</v>
      </c>
      <c r="Q120">
        <v>125</v>
      </c>
      <c r="R120">
        <v>12</v>
      </c>
      <c r="S120" t="s">
        <v>94</v>
      </c>
      <c r="T120">
        <v>0</v>
      </c>
      <c r="U120" t="s">
        <v>95</v>
      </c>
      <c r="V120" t="s">
        <v>103</v>
      </c>
      <c r="W120">
        <v>2100</v>
      </c>
    </row>
    <row r="121" spans="1:23" x14ac:dyDescent="0.35">
      <c r="A121" t="s">
        <v>338</v>
      </c>
      <c r="B121" t="s">
        <v>30</v>
      </c>
      <c r="C121">
        <v>25</v>
      </c>
      <c r="D121" t="s">
        <v>18</v>
      </c>
      <c r="E121" t="s">
        <v>19</v>
      </c>
      <c r="F121" t="s">
        <v>20</v>
      </c>
      <c r="G121" t="s">
        <v>21</v>
      </c>
      <c r="H121" t="s">
        <v>15</v>
      </c>
      <c r="I121" t="s">
        <v>28</v>
      </c>
      <c r="J121" t="s">
        <v>91</v>
      </c>
      <c r="K121" t="s">
        <v>104</v>
      </c>
      <c r="L121" s="5">
        <v>45738</v>
      </c>
      <c r="M121" s="7">
        <v>5.2083333333333336E-2</v>
      </c>
      <c r="N121" s="7">
        <v>0.40972222222222221</v>
      </c>
      <c r="O121" t="s">
        <v>99</v>
      </c>
      <c r="P121" t="s">
        <v>100</v>
      </c>
      <c r="Q121">
        <v>860</v>
      </c>
      <c r="R121">
        <v>24</v>
      </c>
      <c r="S121" t="s">
        <v>101</v>
      </c>
      <c r="T121">
        <v>50</v>
      </c>
      <c r="U121" t="s">
        <v>102</v>
      </c>
      <c r="V121" t="s">
        <v>96</v>
      </c>
      <c r="W121">
        <v>8400</v>
      </c>
    </row>
    <row r="122" spans="1:23" x14ac:dyDescent="0.35">
      <c r="A122" t="s">
        <v>339</v>
      </c>
      <c r="B122" t="s">
        <v>197</v>
      </c>
      <c r="C122">
        <v>38</v>
      </c>
      <c r="D122" t="s">
        <v>11</v>
      </c>
      <c r="E122" t="s">
        <v>37</v>
      </c>
      <c r="F122" t="s">
        <v>38</v>
      </c>
      <c r="G122" t="s">
        <v>21</v>
      </c>
      <c r="H122" t="s">
        <v>39</v>
      </c>
      <c r="I122" t="s">
        <v>40</v>
      </c>
      <c r="J122" t="s">
        <v>113</v>
      </c>
      <c r="K122" t="s">
        <v>114</v>
      </c>
      <c r="L122" s="5">
        <v>45739</v>
      </c>
      <c r="M122" s="7">
        <v>0.91666666666666663</v>
      </c>
      <c r="N122" s="7">
        <v>0.57291666666666663</v>
      </c>
      <c r="O122" t="s">
        <v>115</v>
      </c>
      <c r="P122" t="s">
        <v>100</v>
      </c>
      <c r="Q122">
        <v>1980</v>
      </c>
      <c r="R122">
        <v>27.5</v>
      </c>
      <c r="S122" t="s">
        <v>94</v>
      </c>
      <c r="T122">
        <v>0</v>
      </c>
      <c r="U122" t="s">
        <v>102</v>
      </c>
      <c r="V122" t="s">
        <v>103</v>
      </c>
      <c r="W122">
        <v>9700</v>
      </c>
    </row>
    <row r="123" spans="1:23" x14ac:dyDescent="0.35">
      <c r="A123" t="s">
        <v>340</v>
      </c>
      <c r="B123" t="s">
        <v>42</v>
      </c>
      <c r="C123">
        <v>31</v>
      </c>
      <c r="D123" t="s">
        <v>18</v>
      </c>
      <c r="E123" t="s">
        <v>43</v>
      </c>
      <c r="F123" t="s">
        <v>44</v>
      </c>
      <c r="G123" t="s">
        <v>21</v>
      </c>
      <c r="H123" t="s">
        <v>15</v>
      </c>
      <c r="I123" t="s">
        <v>45</v>
      </c>
      <c r="J123" t="s">
        <v>91</v>
      </c>
      <c r="K123" t="s">
        <v>116</v>
      </c>
      <c r="L123" s="5">
        <v>45739</v>
      </c>
      <c r="M123" s="7">
        <v>0.15625</v>
      </c>
      <c r="N123" s="7">
        <v>0.47222222222222221</v>
      </c>
      <c r="O123" t="s">
        <v>117</v>
      </c>
      <c r="P123" t="s">
        <v>118</v>
      </c>
      <c r="Q123">
        <v>980</v>
      </c>
      <c r="R123">
        <v>19.3</v>
      </c>
      <c r="S123" t="s">
        <v>94</v>
      </c>
      <c r="T123">
        <v>0</v>
      </c>
      <c r="U123" t="s">
        <v>95</v>
      </c>
      <c r="V123" t="s">
        <v>96</v>
      </c>
      <c r="W123">
        <v>5400</v>
      </c>
    </row>
    <row r="124" spans="1:23" x14ac:dyDescent="0.35">
      <c r="A124" t="s">
        <v>341</v>
      </c>
      <c r="B124" t="s">
        <v>231</v>
      </c>
      <c r="C124">
        <v>35</v>
      </c>
      <c r="D124" t="s">
        <v>11</v>
      </c>
      <c r="E124" t="s">
        <v>26</v>
      </c>
      <c r="F124" t="s">
        <v>232</v>
      </c>
      <c r="G124" t="s">
        <v>21</v>
      </c>
      <c r="H124" t="s">
        <v>22</v>
      </c>
      <c r="I124" t="s">
        <v>28</v>
      </c>
      <c r="J124" t="s">
        <v>97</v>
      </c>
      <c r="K124" t="s">
        <v>104</v>
      </c>
      <c r="L124" s="5">
        <v>45740</v>
      </c>
      <c r="M124" s="7">
        <v>9.0277777777777776E-2</v>
      </c>
      <c r="N124" s="7">
        <v>0.36805555555555558</v>
      </c>
      <c r="O124" t="s">
        <v>119</v>
      </c>
      <c r="P124" t="s">
        <v>100</v>
      </c>
      <c r="Q124">
        <v>1800</v>
      </c>
      <c r="R124">
        <v>26.5</v>
      </c>
      <c r="S124" t="s">
        <v>94</v>
      </c>
      <c r="T124">
        <v>0</v>
      </c>
      <c r="U124" t="s">
        <v>107</v>
      </c>
      <c r="V124" t="s">
        <v>103</v>
      </c>
      <c r="W124">
        <v>12000</v>
      </c>
    </row>
    <row r="125" spans="1:23" x14ac:dyDescent="0.35">
      <c r="A125" t="s">
        <v>342</v>
      </c>
      <c r="B125" t="s">
        <v>234</v>
      </c>
      <c r="C125">
        <v>28</v>
      </c>
      <c r="D125" t="s">
        <v>18</v>
      </c>
      <c r="E125" t="s">
        <v>12</v>
      </c>
      <c r="F125" s="3" t="s">
        <v>235</v>
      </c>
      <c r="G125" t="s">
        <v>13</v>
      </c>
      <c r="H125" t="s">
        <v>14</v>
      </c>
      <c r="I125" t="s">
        <v>15</v>
      </c>
      <c r="J125" t="s">
        <v>90</v>
      </c>
      <c r="K125" t="s">
        <v>91</v>
      </c>
      <c r="L125" s="5">
        <v>45740</v>
      </c>
      <c r="M125" s="7">
        <v>0.28125</v>
      </c>
      <c r="N125" s="7">
        <v>0.3888888888888889</v>
      </c>
      <c r="O125" t="s">
        <v>236</v>
      </c>
      <c r="P125" t="s">
        <v>93</v>
      </c>
      <c r="Q125">
        <v>150</v>
      </c>
      <c r="R125">
        <v>11.2</v>
      </c>
      <c r="S125" t="s">
        <v>101</v>
      </c>
      <c r="T125">
        <v>30</v>
      </c>
      <c r="U125" t="s">
        <v>102</v>
      </c>
      <c r="V125" t="s">
        <v>96</v>
      </c>
      <c r="W125">
        <v>3200</v>
      </c>
    </row>
    <row r="126" spans="1:23" x14ac:dyDescent="0.35">
      <c r="A126" t="s">
        <v>343</v>
      </c>
      <c r="B126" t="s">
        <v>25</v>
      </c>
      <c r="C126">
        <v>41</v>
      </c>
      <c r="D126" t="s">
        <v>11</v>
      </c>
      <c r="E126" t="s">
        <v>26</v>
      </c>
      <c r="F126" t="s">
        <v>27</v>
      </c>
      <c r="G126" t="s">
        <v>21</v>
      </c>
      <c r="H126" t="s">
        <v>15</v>
      </c>
      <c r="I126" t="s">
        <v>28</v>
      </c>
      <c r="J126" t="s">
        <v>91</v>
      </c>
      <c r="K126" t="s">
        <v>104</v>
      </c>
      <c r="L126" s="5">
        <v>45741</v>
      </c>
      <c r="M126" s="7">
        <v>5.5555555555555552E-2</v>
      </c>
      <c r="N126" s="7">
        <v>0.41319444444444442</v>
      </c>
      <c r="O126" t="s">
        <v>105</v>
      </c>
      <c r="P126" t="s">
        <v>106</v>
      </c>
      <c r="Q126">
        <v>2450</v>
      </c>
      <c r="R126">
        <v>30.2</v>
      </c>
      <c r="S126" t="s">
        <v>94</v>
      </c>
      <c r="T126">
        <v>0</v>
      </c>
      <c r="U126" t="s">
        <v>107</v>
      </c>
      <c r="V126" t="s">
        <v>103</v>
      </c>
      <c r="W126">
        <v>13200</v>
      </c>
    </row>
    <row r="127" spans="1:23" x14ac:dyDescent="0.35">
      <c r="A127" t="s">
        <v>344</v>
      </c>
      <c r="B127" t="s">
        <v>30</v>
      </c>
      <c r="C127">
        <v>25</v>
      </c>
      <c r="D127" t="s">
        <v>18</v>
      </c>
      <c r="E127" t="s">
        <v>31</v>
      </c>
      <c r="F127" t="s">
        <v>32</v>
      </c>
      <c r="G127" t="s">
        <v>21</v>
      </c>
      <c r="H127" t="s">
        <v>33</v>
      </c>
      <c r="I127" t="s">
        <v>34</v>
      </c>
      <c r="J127" t="s">
        <v>108</v>
      </c>
      <c r="K127" t="s">
        <v>109</v>
      </c>
      <c r="L127" s="5">
        <v>45741</v>
      </c>
      <c r="M127" s="7">
        <v>0.34027777777777779</v>
      </c>
      <c r="N127" s="7">
        <v>0.58333333333333337</v>
      </c>
      <c r="O127" t="s">
        <v>110</v>
      </c>
      <c r="P127" t="s">
        <v>93</v>
      </c>
      <c r="Q127">
        <v>420</v>
      </c>
      <c r="R127">
        <v>15.6</v>
      </c>
      <c r="S127" t="s">
        <v>111</v>
      </c>
      <c r="T127">
        <v>0</v>
      </c>
      <c r="U127" t="s">
        <v>95</v>
      </c>
      <c r="V127" t="s">
        <v>112</v>
      </c>
      <c r="W127">
        <v>3500</v>
      </c>
    </row>
    <row r="128" spans="1:23" x14ac:dyDescent="0.35">
      <c r="A128" t="s">
        <v>345</v>
      </c>
      <c r="B128" t="s">
        <v>36</v>
      </c>
      <c r="C128">
        <v>38</v>
      </c>
      <c r="D128" t="s">
        <v>11</v>
      </c>
      <c r="E128" t="s">
        <v>37</v>
      </c>
      <c r="F128" t="s">
        <v>38</v>
      </c>
      <c r="G128" t="s">
        <v>21</v>
      </c>
      <c r="H128" t="s">
        <v>39</v>
      </c>
      <c r="I128" t="s">
        <v>40</v>
      </c>
      <c r="J128" t="s">
        <v>113</v>
      </c>
      <c r="K128" t="s">
        <v>114</v>
      </c>
      <c r="L128" s="5">
        <v>45742</v>
      </c>
      <c r="M128" s="7">
        <v>0.91666666666666663</v>
      </c>
      <c r="N128" s="7">
        <v>0.57291666666666663</v>
      </c>
      <c r="O128" t="s">
        <v>115</v>
      </c>
      <c r="P128" t="s">
        <v>100</v>
      </c>
      <c r="Q128">
        <v>1980</v>
      </c>
      <c r="R128">
        <v>27.5</v>
      </c>
      <c r="S128" t="s">
        <v>94</v>
      </c>
      <c r="T128">
        <v>0</v>
      </c>
      <c r="U128" t="s">
        <v>102</v>
      </c>
      <c r="V128" t="s">
        <v>103</v>
      </c>
      <c r="W128">
        <v>9700</v>
      </c>
    </row>
    <row r="129" spans="1:23" x14ac:dyDescent="0.35">
      <c r="A129" t="s">
        <v>346</v>
      </c>
      <c r="B129" t="s">
        <v>42</v>
      </c>
      <c r="C129">
        <v>31</v>
      </c>
      <c r="D129" t="s">
        <v>18</v>
      </c>
      <c r="E129" t="s">
        <v>43</v>
      </c>
      <c r="F129" t="s">
        <v>44</v>
      </c>
      <c r="G129" t="s">
        <v>21</v>
      </c>
      <c r="H129" t="s">
        <v>15</v>
      </c>
      <c r="I129" t="s">
        <v>45</v>
      </c>
      <c r="J129" t="s">
        <v>91</v>
      </c>
      <c r="K129" t="s">
        <v>116</v>
      </c>
      <c r="L129" s="5">
        <v>45742</v>
      </c>
      <c r="M129" s="7">
        <v>0.15625</v>
      </c>
      <c r="N129" s="7">
        <v>0.47222222222222221</v>
      </c>
      <c r="O129" t="s">
        <v>117</v>
      </c>
      <c r="P129" t="s">
        <v>118</v>
      </c>
      <c r="Q129">
        <v>980</v>
      </c>
      <c r="R129">
        <v>19.3</v>
      </c>
      <c r="S129" t="s">
        <v>101</v>
      </c>
      <c r="T129">
        <v>35</v>
      </c>
      <c r="U129" t="s">
        <v>95</v>
      </c>
      <c r="V129" t="s">
        <v>96</v>
      </c>
      <c r="W129">
        <v>5400</v>
      </c>
    </row>
    <row r="130" spans="1:23" x14ac:dyDescent="0.35">
      <c r="A130" t="s">
        <v>347</v>
      </c>
      <c r="B130" t="s">
        <v>47</v>
      </c>
      <c r="C130">
        <v>45</v>
      </c>
      <c r="D130" t="s">
        <v>11</v>
      </c>
      <c r="E130" t="s">
        <v>48</v>
      </c>
      <c r="F130" t="s">
        <v>49</v>
      </c>
      <c r="G130" t="s">
        <v>21</v>
      </c>
      <c r="H130" t="s">
        <v>14</v>
      </c>
      <c r="I130" t="s">
        <v>28</v>
      </c>
      <c r="J130" t="s">
        <v>90</v>
      </c>
      <c r="K130" t="s">
        <v>104</v>
      </c>
      <c r="L130" s="5">
        <v>45743</v>
      </c>
      <c r="M130" s="7">
        <v>0.42708333333333331</v>
      </c>
      <c r="N130" s="7">
        <v>0.77083333333333337</v>
      </c>
      <c r="O130" t="s">
        <v>119</v>
      </c>
      <c r="P130" t="s">
        <v>100</v>
      </c>
      <c r="Q130">
        <v>1650</v>
      </c>
      <c r="R130">
        <v>26.8</v>
      </c>
      <c r="S130" t="s">
        <v>94</v>
      </c>
      <c r="T130">
        <v>0</v>
      </c>
      <c r="U130" t="s">
        <v>107</v>
      </c>
      <c r="V130" t="s">
        <v>103</v>
      </c>
      <c r="W130">
        <v>11000</v>
      </c>
    </row>
    <row r="131" spans="1:23" x14ac:dyDescent="0.35">
      <c r="A131" t="s">
        <v>348</v>
      </c>
      <c r="B131" t="s">
        <v>51</v>
      </c>
      <c r="C131">
        <v>27</v>
      </c>
      <c r="D131" t="s">
        <v>18</v>
      </c>
      <c r="E131" t="s">
        <v>52</v>
      </c>
      <c r="F131" t="s">
        <v>53</v>
      </c>
      <c r="G131" t="s">
        <v>21</v>
      </c>
      <c r="H131" t="s">
        <v>22</v>
      </c>
      <c r="I131" t="s">
        <v>40</v>
      </c>
      <c r="J131" t="s">
        <v>97</v>
      </c>
      <c r="K131" t="s">
        <v>114</v>
      </c>
      <c r="L131" s="5">
        <v>45743</v>
      </c>
      <c r="M131" s="7">
        <v>0.24305555555555555</v>
      </c>
      <c r="N131" s="7">
        <v>0.72222222222222221</v>
      </c>
      <c r="O131" t="s">
        <v>120</v>
      </c>
      <c r="P131" t="s">
        <v>93</v>
      </c>
      <c r="Q131">
        <v>740</v>
      </c>
      <c r="R131">
        <v>17.2</v>
      </c>
      <c r="S131" t="s">
        <v>111</v>
      </c>
      <c r="T131">
        <v>0</v>
      </c>
      <c r="U131" t="s">
        <v>95</v>
      </c>
      <c r="V131" t="s">
        <v>96</v>
      </c>
      <c r="W131">
        <v>4100</v>
      </c>
    </row>
    <row r="132" spans="1:23" x14ac:dyDescent="0.35">
      <c r="A132" t="s">
        <v>349</v>
      </c>
      <c r="B132" t="s">
        <v>55</v>
      </c>
      <c r="C132">
        <v>36</v>
      </c>
      <c r="D132" t="s">
        <v>11</v>
      </c>
      <c r="E132" t="s">
        <v>12</v>
      </c>
      <c r="F132" s="3" t="s">
        <v>56</v>
      </c>
      <c r="G132" t="s">
        <v>13</v>
      </c>
      <c r="H132" t="s">
        <v>57</v>
      </c>
      <c r="I132" t="s">
        <v>33</v>
      </c>
      <c r="J132" t="s">
        <v>121</v>
      </c>
      <c r="K132" t="s">
        <v>108</v>
      </c>
      <c r="L132" s="5">
        <v>45744</v>
      </c>
      <c r="M132" s="7">
        <v>0.60069444444444442</v>
      </c>
      <c r="N132" s="7">
        <v>0.71527777777777779</v>
      </c>
      <c r="O132" t="s">
        <v>122</v>
      </c>
      <c r="P132" t="s">
        <v>93</v>
      </c>
      <c r="Q132">
        <v>125</v>
      </c>
      <c r="R132">
        <v>12</v>
      </c>
      <c r="S132" t="s">
        <v>94</v>
      </c>
      <c r="T132">
        <v>0</v>
      </c>
      <c r="U132" t="s">
        <v>102</v>
      </c>
      <c r="V132" t="s">
        <v>103</v>
      </c>
      <c r="W132">
        <v>1800</v>
      </c>
    </row>
    <row r="133" spans="1:23" x14ac:dyDescent="0.35">
      <c r="A133" t="s">
        <v>350</v>
      </c>
      <c r="B133" t="s">
        <v>59</v>
      </c>
      <c r="C133">
        <v>30</v>
      </c>
      <c r="D133" t="s">
        <v>18</v>
      </c>
      <c r="E133" t="s">
        <v>19</v>
      </c>
      <c r="F133" t="s">
        <v>60</v>
      </c>
      <c r="G133" t="s">
        <v>13</v>
      </c>
      <c r="H133" t="s">
        <v>15</v>
      </c>
      <c r="I133" t="s">
        <v>14</v>
      </c>
      <c r="J133" t="s">
        <v>91</v>
      </c>
      <c r="K133" t="s">
        <v>90</v>
      </c>
      <c r="L133" s="5">
        <v>45744</v>
      </c>
      <c r="M133" s="7">
        <v>0.40277777777777779</v>
      </c>
      <c r="N133" s="7">
        <v>0.51736111111111116</v>
      </c>
      <c r="O133" t="s">
        <v>123</v>
      </c>
      <c r="P133" t="s">
        <v>118</v>
      </c>
      <c r="Q133">
        <v>310</v>
      </c>
      <c r="R133">
        <v>20.5</v>
      </c>
      <c r="S133" t="s">
        <v>101</v>
      </c>
      <c r="T133">
        <v>35</v>
      </c>
      <c r="U133" t="s">
        <v>95</v>
      </c>
      <c r="V133" t="s">
        <v>96</v>
      </c>
      <c r="W133">
        <v>6200</v>
      </c>
    </row>
    <row r="134" spans="1:23" x14ac:dyDescent="0.35">
      <c r="A134" t="s">
        <v>351</v>
      </c>
      <c r="B134" t="s">
        <v>62</v>
      </c>
      <c r="C134">
        <v>52</v>
      </c>
      <c r="D134" t="s">
        <v>11</v>
      </c>
      <c r="E134" t="s">
        <v>26</v>
      </c>
      <c r="F134" t="s">
        <v>63</v>
      </c>
      <c r="G134" t="s">
        <v>21</v>
      </c>
      <c r="H134" t="s">
        <v>22</v>
      </c>
      <c r="I134" t="s">
        <v>23</v>
      </c>
      <c r="J134" t="s">
        <v>97</v>
      </c>
      <c r="K134" t="s">
        <v>98</v>
      </c>
      <c r="L134" s="5">
        <v>45745</v>
      </c>
      <c r="M134" s="7">
        <v>0.96875</v>
      </c>
      <c r="N134" s="7">
        <v>0.12152777777777778</v>
      </c>
      <c r="O134" t="s">
        <v>124</v>
      </c>
      <c r="P134" t="s">
        <v>100</v>
      </c>
      <c r="Q134">
        <v>1200</v>
      </c>
      <c r="R134">
        <v>28</v>
      </c>
      <c r="S134" t="s">
        <v>94</v>
      </c>
      <c r="T134">
        <v>0</v>
      </c>
      <c r="U134" t="s">
        <v>107</v>
      </c>
      <c r="V134" t="s">
        <v>125</v>
      </c>
      <c r="W134">
        <v>14000</v>
      </c>
    </row>
    <row r="135" spans="1:23" x14ac:dyDescent="0.35">
      <c r="A135" t="s">
        <v>352</v>
      </c>
      <c r="B135" t="s">
        <v>65</v>
      </c>
      <c r="C135">
        <v>24</v>
      </c>
      <c r="D135" t="s">
        <v>18</v>
      </c>
      <c r="E135" t="s">
        <v>12</v>
      </c>
      <c r="F135" s="3" t="s">
        <v>66</v>
      </c>
      <c r="G135" t="s">
        <v>13</v>
      </c>
      <c r="H135" t="s">
        <v>39</v>
      </c>
      <c r="I135" t="s">
        <v>15</v>
      </c>
      <c r="J135" t="s">
        <v>113</v>
      </c>
      <c r="K135" t="s">
        <v>91</v>
      </c>
      <c r="L135" s="5">
        <v>45745</v>
      </c>
      <c r="M135" s="7">
        <v>0.25694444444444442</v>
      </c>
      <c r="N135" s="7">
        <v>0.3611111111111111</v>
      </c>
      <c r="O135" t="s">
        <v>126</v>
      </c>
      <c r="P135" t="s">
        <v>93</v>
      </c>
      <c r="Q135">
        <v>160</v>
      </c>
      <c r="R135">
        <v>10.4</v>
      </c>
      <c r="S135" t="s">
        <v>111</v>
      </c>
      <c r="T135">
        <v>0</v>
      </c>
      <c r="U135" t="s">
        <v>102</v>
      </c>
      <c r="V135" t="s">
        <v>112</v>
      </c>
      <c r="W135">
        <v>900</v>
      </c>
    </row>
    <row r="136" spans="1:23" x14ac:dyDescent="0.35">
      <c r="A136" t="s">
        <v>353</v>
      </c>
      <c r="B136" t="s">
        <v>68</v>
      </c>
      <c r="C136">
        <v>40</v>
      </c>
      <c r="D136" t="s">
        <v>11</v>
      </c>
      <c r="E136" t="s">
        <v>37</v>
      </c>
      <c r="F136" t="s">
        <v>69</v>
      </c>
      <c r="G136" t="s">
        <v>21</v>
      </c>
      <c r="H136" t="s">
        <v>33</v>
      </c>
      <c r="I136" t="s">
        <v>34</v>
      </c>
      <c r="J136" t="s">
        <v>108</v>
      </c>
      <c r="K136" t="s">
        <v>109</v>
      </c>
      <c r="L136" s="5">
        <v>45746</v>
      </c>
      <c r="M136" s="7">
        <v>0.84722222222222221</v>
      </c>
      <c r="N136" s="7">
        <v>9.0277777777777776E-2</v>
      </c>
      <c r="O136" t="s">
        <v>127</v>
      </c>
      <c r="P136" t="s">
        <v>100</v>
      </c>
      <c r="Q136">
        <v>1340</v>
      </c>
      <c r="R136">
        <v>22.6</v>
      </c>
      <c r="S136" t="s">
        <v>94</v>
      </c>
      <c r="T136">
        <v>0</v>
      </c>
      <c r="U136" t="s">
        <v>95</v>
      </c>
      <c r="V136" t="s">
        <v>103</v>
      </c>
      <c r="W136">
        <v>8700</v>
      </c>
    </row>
    <row r="137" spans="1:23" x14ac:dyDescent="0.35">
      <c r="A137" t="s">
        <v>354</v>
      </c>
      <c r="B137" t="s">
        <v>71</v>
      </c>
      <c r="C137">
        <v>33</v>
      </c>
      <c r="D137" t="s">
        <v>18</v>
      </c>
      <c r="E137" t="s">
        <v>43</v>
      </c>
      <c r="F137" t="s">
        <v>72</v>
      </c>
      <c r="G137" t="s">
        <v>21</v>
      </c>
      <c r="H137" t="s">
        <v>15</v>
      </c>
      <c r="I137" t="s">
        <v>40</v>
      </c>
      <c r="J137" t="s">
        <v>91</v>
      </c>
      <c r="K137" t="s">
        <v>114</v>
      </c>
      <c r="L137" s="5">
        <v>45746</v>
      </c>
      <c r="M137" s="7">
        <v>0.11805555555555555</v>
      </c>
      <c r="N137" s="7">
        <v>0.64583333333333337</v>
      </c>
      <c r="O137" t="s">
        <v>128</v>
      </c>
      <c r="P137" t="s">
        <v>106</v>
      </c>
      <c r="Q137">
        <v>2600</v>
      </c>
      <c r="R137">
        <v>31.4</v>
      </c>
      <c r="S137" t="s">
        <v>101</v>
      </c>
      <c r="T137">
        <v>90</v>
      </c>
      <c r="U137" t="s">
        <v>107</v>
      </c>
      <c r="V137" t="s">
        <v>96</v>
      </c>
      <c r="W137">
        <v>15000</v>
      </c>
    </row>
    <row r="138" spans="1:23" x14ac:dyDescent="0.35">
      <c r="A138" t="s">
        <v>355</v>
      </c>
      <c r="B138" t="s">
        <v>74</v>
      </c>
      <c r="C138">
        <v>47</v>
      </c>
      <c r="D138" t="s">
        <v>11</v>
      </c>
      <c r="E138" t="s">
        <v>19</v>
      </c>
      <c r="F138" t="s">
        <v>75</v>
      </c>
      <c r="G138" t="s">
        <v>21</v>
      </c>
      <c r="H138" t="s">
        <v>14</v>
      </c>
      <c r="I138" t="s">
        <v>23</v>
      </c>
      <c r="J138" t="s">
        <v>90</v>
      </c>
      <c r="K138" t="s">
        <v>98</v>
      </c>
      <c r="L138" s="5">
        <v>45747</v>
      </c>
      <c r="M138" s="7">
        <v>0.54513888888888884</v>
      </c>
      <c r="N138" s="7">
        <v>0.71875</v>
      </c>
      <c r="O138" t="s">
        <v>129</v>
      </c>
      <c r="P138" t="s">
        <v>93</v>
      </c>
      <c r="Q138">
        <v>390</v>
      </c>
      <c r="R138">
        <v>16.100000000000001</v>
      </c>
      <c r="S138" t="s">
        <v>94</v>
      </c>
      <c r="T138">
        <v>0</v>
      </c>
      <c r="U138" t="s">
        <v>95</v>
      </c>
      <c r="V138" t="s">
        <v>103</v>
      </c>
      <c r="W138">
        <v>3000</v>
      </c>
    </row>
    <row r="139" spans="1:23" x14ac:dyDescent="0.35">
      <c r="A139" t="s">
        <v>356</v>
      </c>
      <c r="B139" t="s">
        <v>131</v>
      </c>
      <c r="C139">
        <v>28</v>
      </c>
      <c r="D139" t="s">
        <v>18</v>
      </c>
      <c r="E139" t="s">
        <v>52</v>
      </c>
      <c r="F139" t="s">
        <v>132</v>
      </c>
      <c r="G139" t="s">
        <v>21</v>
      </c>
      <c r="H139" t="s">
        <v>33</v>
      </c>
      <c r="I139" t="s">
        <v>28</v>
      </c>
      <c r="J139" t="s">
        <v>108</v>
      </c>
      <c r="K139" t="s">
        <v>104</v>
      </c>
      <c r="L139" s="5">
        <v>45747</v>
      </c>
      <c r="M139" s="7">
        <v>0.32291666666666669</v>
      </c>
      <c r="N139" s="7">
        <v>0.75694444444444442</v>
      </c>
      <c r="O139" t="s">
        <v>133</v>
      </c>
      <c r="P139" t="s">
        <v>118</v>
      </c>
      <c r="Q139">
        <v>980</v>
      </c>
      <c r="R139">
        <v>21</v>
      </c>
      <c r="S139" t="s">
        <v>111</v>
      </c>
      <c r="T139">
        <v>0</v>
      </c>
      <c r="U139" t="s">
        <v>102</v>
      </c>
      <c r="V139" t="s">
        <v>96</v>
      </c>
      <c r="W139">
        <v>7200</v>
      </c>
    </row>
    <row r="140" spans="1:23" x14ac:dyDescent="0.35">
      <c r="A140" t="s">
        <v>357</v>
      </c>
      <c r="B140" t="s">
        <v>135</v>
      </c>
      <c r="C140">
        <v>39</v>
      </c>
      <c r="D140" t="s">
        <v>11</v>
      </c>
      <c r="E140" t="s">
        <v>12</v>
      </c>
      <c r="F140" s="3" t="s">
        <v>136</v>
      </c>
      <c r="G140" t="s">
        <v>13</v>
      </c>
      <c r="H140" t="s">
        <v>15</v>
      </c>
      <c r="I140" t="s">
        <v>22</v>
      </c>
      <c r="J140" t="s">
        <v>91</v>
      </c>
      <c r="K140" t="s">
        <v>97</v>
      </c>
      <c r="L140" s="5">
        <v>45748</v>
      </c>
      <c r="M140" s="7">
        <v>0.47916666666666669</v>
      </c>
      <c r="N140" s="7">
        <v>0.56944444444444442</v>
      </c>
      <c r="O140" t="s">
        <v>137</v>
      </c>
      <c r="P140" t="s">
        <v>93</v>
      </c>
      <c r="Q140">
        <v>110</v>
      </c>
      <c r="R140">
        <v>8.6</v>
      </c>
      <c r="S140" t="s">
        <v>94</v>
      </c>
      <c r="T140">
        <v>0</v>
      </c>
      <c r="U140" t="s">
        <v>95</v>
      </c>
      <c r="V140" t="s">
        <v>103</v>
      </c>
      <c r="W140">
        <v>1500</v>
      </c>
    </row>
    <row r="141" spans="1:23" x14ac:dyDescent="0.35">
      <c r="A141" t="s">
        <v>358</v>
      </c>
      <c r="B141" t="s">
        <v>139</v>
      </c>
      <c r="C141">
        <v>26</v>
      </c>
      <c r="D141" t="s">
        <v>18</v>
      </c>
      <c r="E141" t="s">
        <v>19</v>
      </c>
      <c r="F141" t="s">
        <v>140</v>
      </c>
      <c r="G141" t="s">
        <v>13</v>
      </c>
      <c r="H141" t="s">
        <v>57</v>
      </c>
      <c r="I141" t="s">
        <v>39</v>
      </c>
      <c r="J141" t="s">
        <v>121</v>
      </c>
      <c r="K141" t="s">
        <v>113</v>
      </c>
      <c r="L141" s="5">
        <v>45748</v>
      </c>
      <c r="M141" s="7">
        <v>0.66666666666666663</v>
      </c>
      <c r="N141" s="7">
        <v>0.76736111111111116</v>
      </c>
      <c r="O141" t="s">
        <v>141</v>
      </c>
      <c r="P141" t="s">
        <v>93</v>
      </c>
      <c r="Q141">
        <v>140</v>
      </c>
      <c r="R141">
        <v>11.2</v>
      </c>
      <c r="S141" t="s">
        <v>101</v>
      </c>
      <c r="T141">
        <v>20</v>
      </c>
      <c r="U141" t="s">
        <v>95</v>
      </c>
      <c r="V141" t="s">
        <v>96</v>
      </c>
      <c r="W141">
        <v>2700</v>
      </c>
    </row>
    <row r="142" spans="1:23" x14ac:dyDescent="0.35">
      <c r="A142" t="s">
        <v>359</v>
      </c>
      <c r="B142" t="s">
        <v>143</v>
      </c>
      <c r="C142">
        <v>50</v>
      </c>
      <c r="D142" t="s">
        <v>11</v>
      </c>
      <c r="E142" t="s">
        <v>26</v>
      </c>
      <c r="F142" t="s">
        <v>144</v>
      </c>
      <c r="G142" t="s">
        <v>21</v>
      </c>
      <c r="H142" t="s">
        <v>14</v>
      </c>
      <c r="I142" t="s">
        <v>34</v>
      </c>
      <c r="J142" t="s">
        <v>90</v>
      </c>
      <c r="K142" t="s">
        <v>109</v>
      </c>
      <c r="L142" s="5">
        <v>45749</v>
      </c>
      <c r="M142" s="7">
        <v>0.88194444444444442</v>
      </c>
      <c r="N142" s="7">
        <v>0.2013888888888889</v>
      </c>
      <c r="O142" t="s">
        <v>145</v>
      </c>
      <c r="P142" t="s">
        <v>100</v>
      </c>
      <c r="Q142">
        <v>1450</v>
      </c>
      <c r="R142">
        <v>25.9</v>
      </c>
      <c r="S142" t="s">
        <v>94</v>
      </c>
      <c r="T142">
        <v>0</v>
      </c>
      <c r="U142" t="s">
        <v>107</v>
      </c>
      <c r="V142" t="s">
        <v>125</v>
      </c>
      <c r="W142">
        <v>11800</v>
      </c>
    </row>
    <row r="143" spans="1:23" x14ac:dyDescent="0.35">
      <c r="A143" t="s">
        <v>360</v>
      </c>
      <c r="B143" t="s">
        <v>222</v>
      </c>
      <c r="C143">
        <v>31</v>
      </c>
      <c r="D143" t="s">
        <v>18</v>
      </c>
      <c r="E143" t="s">
        <v>31</v>
      </c>
      <c r="F143" t="s">
        <v>148</v>
      </c>
      <c r="G143" t="s">
        <v>21</v>
      </c>
      <c r="H143" t="s">
        <v>15</v>
      </c>
      <c r="I143" t="s">
        <v>23</v>
      </c>
      <c r="J143" t="s">
        <v>91</v>
      </c>
      <c r="K143" t="s">
        <v>98</v>
      </c>
      <c r="L143" s="5">
        <v>45749</v>
      </c>
      <c r="M143" s="7">
        <v>0.18402777777777779</v>
      </c>
      <c r="N143" s="7">
        <v>0.33333333333333331</v>
      </c>
      <c r="O143" t="s">
        <v>149</v>
      </c>
      <c r="P143" t="s">
        <v>93</v>
      </c>
      <c r="Q143">
        <v>330</v>
      </c>
      <c r="R143">
        <v>13.5</v>
      </c>
      <c r="S143" t="s">
        <v>111</v>
      </c>
      <c r="T143">
        <v>0</v>
      </c>
      <c r="U143" t="s">
        <v>102</v>
      </c>
      <c r="V143" t="s">
        <v>112</v>
      </c>
      <c r="W143">
        <v>2100</v>
      </c>
    </row>
    <row r="144" spans="1:23" x14ac:dyDescent="0.35">
      <c r="A144" t="s">
        <v>361</v>
      </c>
      <c r="B144" t="s">
        <v>224</v>
      </c>
      <c r="C144">
        <v>44</v>
      </c>
      <c r="D144" t="s">
        <v>11</v>
      </c>
      <c r="E144" t="s">
        <v>12</v>
      </c>
      <c r="F144" s="11" t="s">
        <v>225</v>
      </c>
      <c r="G144" t="s">
        <v>13</v>
      </c>
      <c r="H144" t="s">
        <v>22</v>
      </c>
      <c r="I144" t="s">
        <v>57</v>
      </c>
      <c r="J144" t="s">
        <v>97</v>
      </c>
      <c r="K144" t="s">
        <v>121</v>
      </c>
      <c r="L144" s="5">
        <v>45750</v>
      </c>
      <c r="M144" s="7">
        <v>0.38194444444444442</v>
      </c>
      <c r="N144" s="7">
        <v>0.4861111111111111</v>
      </c>
      <c r="O144" t="s">
        <v>226</v>
      </c>
      <c r="P144" t="s">
        <v>93</v>
      </c>
      <c r="Q144">
        <v>125</v>
      </c>
      <c r="R144">
        <v>12</v>
      </c>
      <c r="S144" t="s">
        <v>94</v>
      </c>
      <c r="T144">
        <v>0</v>
      </c>
      <c r="U144" t="s">
        <v>95</v>
      </c>
      <c r="V144" t="s">
        <v>103</v>
      </c>
      <c r="W144">
        <v>2100</v>
      </c>
    </row>
    <row r="145" spans="1:23" x14ac:dyDescent="0.35">
      <c r="A145" t="s">
        <v>362</v>
      </c>
      <c r="B145" t="s">
        <v>30</v>
      </c>
      <c r="C145">
        <v>25</v>
      </c>
      <c r="D145" t="s">
        <v>18</v>
      </c>
      <c r="E145" t="s">
        <v>19</v>
      </c>
      <c r="F145" t="s">
        <v>20</v>
      </c>
      <c r="G145" t="s">
        <v>21</v>
      </c>
      <c r="H145" t="s">
        <v>15</v>
      </c>
      <c r="I145" t="s">
        <v>28</v>
      </c>
      <c r="J145" t="s">
        <v>91</v>
      </c>
      <c r="K145" t="s">
        <v>104</v>
      </c>
      <c r="L145" s="5">
        <v>45750</v>
      </c>
      <c r="M145" s="7">
        <v>5.2083333333333336E-2</v>
      </c>
      <c r="N145" s="7">
        <v>0.40972222222222221</v>
      </c>
      <c r="O145" t="s">
        <v>99</v>
      </c>
      <c r="P145" t="s">
        <v>100</v>
      </c>
      <c r="Q145">
        <v>860</v>
      </c>
      <c r="R145">
        <v>24</v>
      </c>
      <c r="S145" t="s">
        <v>101</v>
      </c>
      <c r="T145">
        <v>50</v>
      </c>
      <c r="U145" t="s">
        <v>102</v>
      </c>
      <c r="V145" t="s">
        <v>96</v>
      </c>
      <c r="W145">
        <v>8400</v>
      </c>
    </row>
    <row r="146" spans="1:23" x14ac:dyDescent="0.35">
      <c r="A146" t="s">
        <v>363</v>
      </c>
      <c r="B146" t="s">
        <v>197</v>
      </c>
      <c r="C146">
        <v>38</v>
      </c>
      <c r="D146" t="s">
        <v>11</v>
      </c>
      <c r="E146" t="s">
        <v>37</v>
      </c>
      <c r="F146" t="s">
        <v>38</v>
      </c>
      <c r="G146" t="s">
        <v>21</v>
      </c>
      <c r="H146" t="s">
        <v>39</v>
      </c>
      <c r="I146" t="s">
        <v>40</v>
      </c>
      <c r="J146" t="s">
        <v>113</v>
      </c>
      <c r="K146" t="s">
        <v>114</v>
      </c>
      <c r="L146" s="5">
        <v>45751</v>
      </c>
      <c r="M146" s="7">
        <v>0.91666666666666663</v>
      </c>
      <c r="N146" s="7">
        <v>0.57291666666666663</v>
      </c>
      <c r="O146" t="s">
        <v>115</v>
      </c>
      <c r="P146" t="s">
        <v>100</v>
      </c>
      <c r="Q146">
        <v>1980</v>
      </c>
      <c r="R146">
        <v>27.5</v>
      </c>
      <c r="S146" t="s">
        <v>94</v>
      </c>
      <c r="T146">
        <v>0</v>
      </c>
      <c r="U146" t="s">
        <v>102</v>
      </c>
      <c r="V146" t="s">
        <v>103</v>
      </c>
      <c r="W146">
        <v>9700</v>
      </c>
    </row>
    <row r="147" spans="1:23" x14ac:dyDescent="0.35">
      <c r="A147" t="s">
        <v>364</v>
      </c>
      <c r="B147" t="s">
        <v>42</v>
      </c>
      <c r="C147">
        <v>31</v>
      </c>
      <c r="D147" t="s">
        <v>18</v>
      </c>
      <c r="E147" t="s">
        <v>43</v>
      </c>
      <c r="F147" t="s">
        <v>44</v>
      </c>
      <c r="G147" t="s">
        <v>21</v>
      </c>
      <c r="H147" t="s">
        <v>15</v>
      </c>
      <c r="I147" t="s">
        <v>45</v>
      </c>
      <c r="J147" t="s">
        <v>91</v>
      </c>
      <c r="K147" t="s">
        <v>116</v>
      </c>
      <c r="L147" s="5">
        <v>45751</v>
      </c>
      <c r="M147" s="7">
        <v>0.15625</v>
      </c>
      <c r="N147" s="7">
        <v>0.47222222222222221</v>
      </c>
      <c r="O147" t="s">
        <v>117</v>
      </c>
      <c r="P147" t="s">
        <v>118</v>
      </c>
      <c r="Q147">
        <v>980</v>
      </c>
      <c r="R147">
        <v>19.3</v>
      </c>
      <c r="S147" t="s">
        <v>94</v>
      </c>
      <c r="T147">
        <v>0</v>
      </c>
      <c r="U147" t="s">
        <v>95</v>
      </c>
      <c r="V147" t="s">
        <v>96</v>
      </c>
      <c r="W147">
        <v>5400</v>
      </c>
    </row>
    <row r="148" spans="1:23" x14ac:dyDescent="0.35">
      <c r="A148" t="s">
        <v>365</v>
      </c>
      <c r="B148" t="s">
        <v>231</v>
      </c>
      <c r="C148">
        <v>35</v>
      </c>
      <c r="D148" t="s">
        <v>11</v>
      </c>
      <c r="E148" t="s">
        <v>26</v>
      </c>
      <c r="F148" t="s">
        <v>232</v>
      </c>
      <c r="G148" t="s">
        <v>21</v>
      </c>
      <c r="H148" t="s">
        <v>22</v>
      </c>
      <c r="I148" t="s">
        <v>28</v>
      </c>
      <c r="J148" t="s">
        <v>97</v>
      </c>
      <c r="K148" t="s">
        <v>104</v>
      </c>
      <c r="L148" s="5">
        <v>45752</v>
      </c>
      <c r="M148" s="7">
        <v>9.0277777777777776E-2</v>
      </c>
      <c r="N148" s="7">
        <v>0.36805555555555558</v>
      </c>
      <c r="O148" t="s">
        <v>119</v>
      </c>
      <c r="P148" t="s">
        <v>100</v>
      </c>
      <c r="Q148">
        <v>1800</v>
      </c>
      <c r="R148">
        <v>26.5</v>
      </c>
      <c r="S148" t="s">
        <v>94</v>
      </c>
      <c r="T148">
        <v>0</v>
      </c>
      <c r="U148" t="s">
        <v>107</v>
      </c>
      <c r="V148" t="s">
        <v>103</v>
      </c>
      <c r="W148">
        <v>12000</v>
      </c>
    </row>
    <row r="149" spans="1:23" x14ac:dyDescent="0.35">
      <c r="A149" t="s">
        <v>366</v>
      </c>
      <c r="B149" t="s">
        <v>234</v>
      </c>
      <c r="C149">
        <v>28</v>
      </c>
      <c r="D149" t="s">
        <v>18</v>
      </c>
      <c r="E149" t="s">
        <v>12</v>
      </c>
      <c r="F149" s="3" t="s">
        <v>235</v>
      </c>
      <c r="G149" t="s">
        <v>13</v>
      </c>
      <c r="H149" t="s">
        <v>14</v>
      </c>
      <c r="I149" t="s">
        <v>15</v>
      </c>
      <c r="J149" t="s">
        <v>90</v>
      </c>
      <c r="K149" t="s">
        <v>91</v>
      </c>
      <c r="L149" s="5">
        <v>45752</v>
      </c>
      <c r="M149" s="7">
        <v>0.28125</v>
      </c>
      <c r="N149" s="7">
        <v>0.3888888888888889</v>
      </c>
      <c r="O149" t="s">
        <v>236</v>
      </c>
      <c r="P149" t="s">
        <v>93</v>
      </c>
      <c r="Q149">
        <v>150</v>
      </c>
      <c r="R149">
        <v>11.2</v>
      </c>
      <c r="S149" t="s">
        <v>101</v>
      </c>
      <c r="T149">
        <v>30</v>
      </c>
      <c r="U149" t="s">
        <v>102</v>
      </c>
      <c r="V149" t="s">
        <v>96</v>
      </c>
      <c r="W149">
        <v>3200</v>
      </c>
    </row>
    <row r="150" spans="1:23" x14ac:dyDescent="0.35">
      <c r="A150" t="s">
        <v>367</v>
      </c>
      <c r="B150" t="s">
        <v>25</v>
      </c>
      <c r="C150">
        <v>41</v>
      </c>
      <c r="D150" t="s">
        <v>11</v>
      </c>
      <c r="E150" t="s">
        <v>26</v>
      </c>
      <c r="F150" t="s">
        <v>27</v>
      </c>
      <c r="G150" t="s">
        <v>21</v>
      </c>
      <c r="H150" t="s">
        <v>15</v>
      </c>
      <c r="I150" t="s">
        <v>28</v>
      </c>
      <c r="J150" t="s">
        <v>91</v>
      </c>
      <c r="K150" t="s">
        <v>104</v>
      </c>
      <c r="L150" s="5">
        <v>45753</v>
      </c>
      <c r="M150" s="7">
        <v>5.5555555555555552E-2</v>
      </c>
      <c r="N150" s="7">
        <v>0.41319444444444442</v>
      </c>
      <c r="O150" t="s">
        <v>105</v>
      </c>
      <c r="P150" t="s">
        <v>106</v>
      </c>
      <c r="Q150">
        <v>2450</v>
      </c>
      <c r="R150">
        <v>30.2</v>
      </c>
      <c r="S150" t="s">
        <v>94</v>
      </c>
      <c r="T150">
        <v>0</v>
      </c>
      <c r="U150" t="s">
        <v>107</v>
      </c>
      <c r="V150" t="s">
        <v>103</v>
      </c>
      <c r="W150">
        <v>13200</v>
      </c>
    </row>
    <row r="151" spans="1:23" x14ac:dyDescent="0.35">
      <c r="A151" t="s">
        <v>368</v>
      </c>
      <c r="B151" t="s">
        <v>30</v>
      </c>
      <c r="C151">
        <v>25</v>
      </c>
      <c r="D151" t="s">
        <v>18</v>
      </c>
      <c r="E151" t="s">
        <v>31</v>
      </c>
      <c r="F151" t="s">
        <v>32</v>
      </c>
      <c r="G151" t="s">
        <v>21</v>
      </c>
      <c r="H151" t="s">
        <v>33</v>
      </c>
      <c r="I151" t="s">
        <v>34</v>
      </c>
      <c r="J151" t="s">
        <v>108</v>
      </c>
      <c r="K151" t="s">
        <v>109</v>
      </c>
      <c r="L151" s="5">
        <v>45753</v>
      </c>
      <c r="M151" s="7">
        <v>0.34027777777777779</v>
      </c>
      <c r="N151" s="7">
        <v>0.58333333333333337</v>
      </c>
      <c r="O151" t="s">
        <v>110</v>
      </c>
      <c r="P151" t="s">
        <v>93</v>
      </c>
      <c r="Q151">
        <v>420</v>
      </c>
      <c r="R151">
        <v>15.6</v>
      </c>
      <c r="S151" t="s">
        <v>111</v>
      </c>
      <c r="T151">
        <v>0</v>
      </c>
      <c r="U151" t="s">
        <v>95</v>
      </c>
      <c r="V151" t="s">
        <v>112</v>
      </c>
      <c r="W151">
        <v>3500</v>
      </c>
    </row>
    <row r="152" spans="1:23" x14ac:dyDescent="0.35">
      <c r="A152" t="s">
        <v>369</v>
      </c>
      <c r="B152" t="s">
        <v>36</v>
      </c>
      <c r="C152">
        <v>38</v>
      </c>
      <c r="D152" t="s">
        <v>11</v>
      </c>
      <c r="E152" t="s">
        <v>37</v>
      </c>
      <c r="F152" t="s">
        <v>38</v>
      </c>
      <c r="G152" t="s">
        <v>21</v>
      </c>
      <c r="H152" t="s">
        <v>39</v>
      </c>
      <c r="I152" t="s">
        <v>40</v>
      </c>
      <c r="J152" t="s">
        <v>113</v>
      </c>
      <c r="K152" t="s">
        <v>114</v>
      </c>
      <c r="L152" s="5">
        <v>45754</v>
      </c>
      <c r="M152" s="7">
        <v>0.91666666666666663</v>
      </c>
      <c r="N152" s="7">
        <v>0.57291666666666663</v>
      </c>
      <c r="O152" t="s">
        <v>115</v>
      </c>
      <c r="P152" t="s">
        <v>100</v>
      </c>
      <c r="Q152">
        <v>1980</v>
      </c>
      <c r="R152">
        <v>27.5</v>
      </c>
      <c r="S152" t="s">
        <v>94</v>
      </c>
      <c r="T152">
        <v>0</v>
      </c>
      <c r="U152" t="s">
        <v>102</v>
      </c>
      <c r="V152" t="s">
        <v>103</v>
      </c>
      <c r="W152">
        <v>9700</v>
      </c>
    </row>
    <row r="153" spans="1:23" x14ac:dyDescent="0.35">
      <c r="A153" t="s">
        <v>370</v>
      </c>
      <c r="B153" t="s">
        <v>42</v>
      </c>
      <c r="C153">
        <v>31</v>
      </c>
      <c r="D153" t="s">
        <v>18</v>
      </c>
      <c r="E153" t="s">
        <v>43</v>
      </c>
      <c r="F153" t="s">
        <v>44</v>
      </c>
      <c r="G153" t="s">
        <v>21</v>
      </c>
      <c r="H153" t="s">
        <v>15</v>
      </c>
      <c r="I153" t="s">
        <v>45</v>
      </c>
      <c r="J153" t="s">
        <v>91</v>
      </c>
      <c r="K153" t="s">
        <v>116</v>
      </c>
      <c r="L153" s="5">
        <v>45754</v>
      </c>
      <c r="M153" s="7">
        <v>0.15625</v>
      </c>
      <c r="N153" s="7">
        <v>0.47222222222222221</v>
      </c>
      <c r="O153" t="s">
        <v>117</v>
      </c>
      <c r="P153" t="s">
        <v>118</v>
      </c>
      <c r="Q153">
        <v>980</v>
      </c>
      <c r="R153">
        <v>19.3</v>
      </c>
      <c r="S153" t="s">
        <v>101</v>
      </c>
      <c r="T153">
        <v>35</v>
      </c>
      <c r="U153" t="s">
        <v>95</v>
      </c>
      <c r="V153" t="s">
        <v>96</v>
      </c>
      <c r="W153">
        <v>5400</v>
      </c>
    </row>
    <row r="154" spans="1:23" x14ac:dyDescent="0.35">
      <c r="A154" t="s">
        <v>371</v>
      </c>
      <c r="B154" t="s">
        <v>47</v>
      </c>
      <c r="C154">
        <v>45</v>
      </c>
      <c r="D154" t="s">
        <v>11</v>
      </c>
      <c r="E154" t="s">
        <v>48</v>
      </c>
      <c r="F154" t="s">
        <v>49</v>
      </c>
      <c r="G154" t="s">
        <v>21</v>
      </c>
      <c r="H154" t="s">
        <v>14</v>
      </c>
      <c r="I154" t="s">
        <v>28</v>
      </c>
      <c r="J154" t="s">
        <v>90</v>
      </c>
      <c r="K154" t="s">
        <v>104</v>
      </c>
      <c r="L154" s="5">
        <v>45755</v>
      </c>
      <c r="M154" s="7">
        <v>0.42708333333333331</v>
      </c>
      <c r="N154" s="7">
        <v>0.77083333333333337</v>
      </c>
      <c r="O154" t="s">
        <v>119</v>
      </c>
      <c r="P154" t="s">
        <v>100</v>
      </c>
      <c r="Q154">
        <v>1650</v>
      </c>
      <c r="R154">
        <v>26.8</v>
      </c>
      <c r="S154" t="s">
        <v>94</v>
      </c>
      <c r="T154">
        <v>0</v>
      </c>
      <c r="U154" t="s">
        <v>107</v>
      </c>
      <c r="V154" t="s">
        <v>103</v>
      </c>
      <c r="W154">
        <v>11000</v>
      </c>
    </row>
    <row r="155" spans="1:23" x14ac:dyDescent="0.35">
      <c r="A155" t="s">
        <v>372</v>
      </c>
      <c r="B155" t="s">
        <v>51</v>
      </c>
      <c r="C155">
        <v>27</v>
      </c>
      <c r="D155" t="s">
        <v>18</v>
      </c>
      <c r="E155" t="s">
        <v>52</v>
      </c>
      <c r="F155" t="s">
        <v>53</v>
      </c>
      <c r="G155" t="s">
        <v>21</v>
      </c>
      <c r="H155" t="s">
        <v>22</v>
      </c>
      <c r="I155" t="s">
        <v>40</v>
      </c>
      <c r="J155" t="s">
        <v>97</v>
      </c>
      <c r="K155" t="s">
        <v>114</v>
      </c>
      <c r="L155" s="5">
        <v>45755</v>
      </c>
      <c r="M155" s="7">
        <v>0.24305555555555555</v>
      </c>
      <c r="N155" s="7">
        <v>0.72222222222222221</v>
      </c>
      <c r="O155" t="s">
        <v>120</v>
      </c>
      <c r="P155" t="s">
        <v>93</v>
      </c>
      <c r="Q155">
        <v>740</v>
      </c>
      <c r="R155">
        <v>17.2</v>
      </c>
      <c r="S155" t="s">
        <v>111</v>
      </c>
      <c r="T155">
        <v>0</v>
      </c>
      <c r="U155" t="s">
        <v>95</v>
      </c>
      <c r="V155" t="s">
        <v>96</v>
      </c>
      <c r="W155">
        <v>4100</v>
      </c>
    </row>
    <row r="156" spans="1:23" x14ac:dyDescent="0.35">
      <c r="A156" t="s">
        <v>373</v>
      </c>
      <c r="B156" t="s">
        <v>55</v>
      </c>
      <c r="C156">
        <v>36</v>
      </c>
      <c r="D156" t="s">
        <v>11</v>
      </c>
      <c r="E156" t="s">
        <v>12</v>
      </c>
      <c r="F156" s="3" t="s">
        <v>56</v>
      </c>
      <c r="G156" t="s">
        <v>13</v>
      </c>
      <c r="H156" t="s">
        <v>57</v>
      </c>
      <c r="I156" t="s">
        <v>33</v>
      </c>
      <c r="J156" t="s">
        <v>121</v>
      </c>
      <c r="K156" t="s">
        <v>108</v>
      </c>
      <c r="L156" s="5">
        <v>45756</v>
      </c>
      <c r="M156" s="7">
        <v>0.60069444444444442</v>
      </c>
      <c r="N156" s="7">
        <v>0.71527777777777779</v>
      </c>
      <c r="O156" t="s">
        <v>122</v>
      </c>
      <c r="P156" t="s">
        <v>93</v>
      </c>
      <c r="Q156">
        <v>125</v>
      </c>
      <c r="R156">
        <v>12</v>
      </c>
      <c r="S156" t="s">
        <v>94</v>
      </c>
      <c r="T156">
        <v>0</v>
      </c>
      <c r="U156" t="s">
        <v>102</v>
      </c>
      <c r="V156" t="s">
        <v>103</v>
      </c>
      <c r="W156">
        <v>1800</v>
      </c>
    </row>
    <row r="157" spans="1:23" x14ac:dyDescent="0.35">
      <c r="A157" t="s">
        <v>374</v>
      </c>
      <c r="B157" t="s">
        <v>59</v>
      </c>
      <c r="C157">
        <v>30</v>
      </c>
      <c r="D157" t="s">
        <v>18</v>
      </c>
      <c r="E157" t="s">
        <v>19</v>
      </c>
      <c r="F157" t="s">
        <v>60</v>
      </c>
      <c r="G157" t="s">
        <v>13</v>
      </c>
      <c r="H157" t="s">
        <v>15</v>
      </c>
      <c r="I157" t="s">
        <v>14</v>
      </c>
      <c r="J157" t="s">
        <v>91</v>
      </c>
      <c r="K157" t="s">
        <v>90</v>
      </c>
      <c r="L157" s="5">
        <v>45756</v>
      </c>
      <c r="M157" s="7">
        <v>0.40277777777777779</v>
      </c>
      <c r="N157" s="7">
        <v>0.51736111111111116</v>
      </c>
      <c r="O157" t="s">
        <v>123</v>
      </c>
      <c r="P157" t="s">
        <v>118</v>
      </c>
      <c r="Q157">
        <v>310</v>
      </c>
      <c r="R157">
        <v>20.5</v>
      </c>
      <c r="S157" t="s">
        <v>101</v>
      </c>
      <c r="T157">
        <v>35</v>
      </c>
      <c r="U157" t="s">
        <v>95</v>
      </c>
      <c r="V157" t="s">
        <v>96</v>
      </c>
      <c r="W157">
        <v>6200</v>
      </c>
    </row>
    <row r="158" spans="1:23" x14ac:dyDescent="0.35">
      <c r="A158" t="s">
        <v>375</v>
      </c>
      <c r="B158" t="s">
        <v>62</v>
      </c>
      <c r="C158">
        <v>52</v>
      </c>
      <c r="D158" t="s">
        <v>11</v>
      </c>
      <c r="E158" t="s">
        <v>26</v>
      </c>
      <c r="F158" t="s">
        <v>63</v>
      </c>
      <c r="G158" t="s">
        <v>21</v>
      </c>
      <c r="H158" t="s">
        <v>22</v>
      </c>
      <c r="I158" t="s">
        <v>23</v>
      </c>
      <c r="J158" t="s">
        <v>97</v>
      </c>
      <c r="K158" t="s">
        <v>98</v>
      </c>
      <c r="L158" s="5">
        <v>45757</v>
      </c>
      <c r="M158" s="7">
        <v>0.96875</v>
      </c>
      <c r="N158" s="7">
        <v>0.12152777777777778</v>
      </c>
      <c r="O158" t="s">
        <v>124</v>
      </c>
      <c r="P158" t="s">
        <v>100</v>
      </c>
      <c r="Q158">
        <v>1200</v>
      </c>
      <c r="R158">
        <v>28</v>
      </c>
      <c r="S158" t="s">
        <v>94</v>
      </c>
      <c r="T158">
        <v>0</v>
      </c>
      <c r="U158" t="s">
        <v>107</v>
      </c>
      <c r="V158" t="s">
        <v>125</v>
      </c>
      <c r="W158">
        <v>14000</v>
      </c>
    </row>
    <row r="159" spans="1:23" x14ac:dyDescent="0.35">
      <c r="A159" t="s">
        <v>376</v>
      </c>
      <c r="B159" t="s">
        <v>65</v>
      </c>
      <c r="C159">
        <v>24</v>
      </c>
      <c r="D159" t="s">
        <v>18</v>
      </c>
      <c r="E159" t="s">
        <v>12</v>
      </c>
      <c r="F159" s="3" t="s">
        <v>66</v>
      </c>
      <c r="G159" t="s">
        <v>13</v>
      </c>
      <c r="H159" t="s">
        <v>39</v>
      </c>
      <c r="I159" t="s">
        <v>15</v>
      </c>
      <c r="J159" t="s">
        <v>113</v>
      </c>
      <c r="K159" t="s">
        <v>91</v>
      </c>
      <c r="L159" s="5">
        <v>45757</v>
      </c>
      <c r="M159" s="7">
        <v>0.25694444444444442</v>
      </c>
      <c r="N159" s="7">
        <v>0.3611111111111111</v>
      </c>
      <c r="O159" t="s">
        <v>126</v>
      </c>
      <c r="P159" t="s">
        <v>93</v>
      </c>
      <c r="Q159">
        <v>160</v>
      </c>
      <c r="R159">
        <v>10.4</v>
      </c>
      <c r="S159" t="s">
        <v>111</v>
      </c>
      <c r="T159">
        <v>0</v>
      </c>
      <c r="U159" t="s">
        <v>102</v>
      </c>
      <c r="V159" t="s">
        <v>112</v>
      </c>
      <c r="W159">
        <v>900</v>
      </c>
    </row>
    <row r="160" spans="1:23" x14ac:dyDescent="0.35">
      <c r="A160" t="s">
        <v>377</v>
      </c>
      <c r="B160" t="s">
        <v>68</v>
      </c>
      <c r="C160">
        <v>40</v>
      </c>
      <c r="D160" t="s">
        <v>11</v>
      </c>
      <c r="E160" t="s">
        <v>37</v>
      </c>
      <c r="F160" t="s">
        <v>69</v>
      </c>
      <c r="G160" t="s">
        <v>21</v>
      </c>
      <c r="H160" t="s">
        <v>33</v>
      </c>
      <c r="I160" t="s">
        <v>34</v>
      </c>
      <c r="J160" t="s">
        <v>108</v>
      </c>
      <c r="K160" t="s">
        <v>109</v>
      </c>
      <c r="L160" s="5">
        <v>45758</v>
      </c>
      <c r="M160" s="7">
        <v>0.84722222222222221</v>
      </c>
      <c r="N160" s="7">
        <v>9.0277777777777776E-2</v>
      </c>
      <c r="O160" t="s">
        <v>127</v>
      </c>
      <c r="P160" t="s">
        <v>100</v>
      </c>
      <c r="Q160">
        <v>1340</v>
      </c>
      <c r="R160">
        <v>22.6</v>
      </c>
      <c r="S160" t="s">
        <v>94</v>
      </c>
      <c r="T160">
        <v>0</v>
      </c>
      <c r="U160" t="s">
        <v>95</v>
      </c>
      <c r="V160" t="s">
        <v>103</v>
      </c>
      <c r="W160">
        <v>8700</v>
      </c>
    </row>
    <row r="161" spans="1:23" x14ac:dyDescent="0.35">
      <c r="A161" t="s">
        <v>378</v>
      </c>
      <c r="B161" t="s">
        <v>71</v>
      </c>
      <c r="C161">
        <v>33</v>
      </c>
      <c r="D161" t="s">
        <v>18</v>
      </c>
      <c r="E161" t="s">
        <v>43</v>
      </c>
      <c r="F161" t="s">
        <v>72</v>
      </c>
      <c r="G161" t="s">
        <v>21</v>
      </c>
      <c r="H161" t="s">
        <v>15</v>
      </c>
      <c r="I161" t="s">
        <v>40</v>
      </c>
      <c r="J161" t="s">
        <v>91</v>
      </c>
      <c r="K161" t="s">
        <v>114</v>
      </c>
      <c r="L161" s="5">
        <v>45758</v>
      </c>
      <c r="M161" s="7">
        <v>0.11805555555555555</v>
      </c>
      <c r="N161" s="7">
        <v>0.64583333333333337</v>
      </c>
      <c r="O161" t="s">
        <v>128</v>
      </c>
      <c r="P161" t="s">
        <v>106</v>
      </c>
      <c r="Q161">
        <v>2600</v>
      </c>
      <c r="R161">
        <v>31.4</v>
      </c>
      <c r="S161" t="s">
        <v>101</v>
      </c>
      <c r="T161">
        <v>90</v>
      </c>
      <c r="U161" t="s">
        <v>107</v>
      </c>
      <c r="V161" t="s">
        <v>96</v>
      </c>
      <c r="W161">
        <v>15000</v>
      </c>
    </row>
    <row r="162" spans="1:23" x14ac:dyDescent="0.35">
      <c r="A162" t="s">
        <v>379</v>
      </c>
      <c r="B162" t="s">
        <v>74</v>
      </c>
      <c r="C162">
        <v>47</v>
      </c>
      <c r="D162" t="s">
        <v>11</v>
      </c>
      <c r="E162" t="s">
        <v>19</v>
      </c>
      <c r="F162" t="s">
        <v>75</v>
      </c>
      <c r="G162" t="s">
        <v>21</v>
      </c>
      <c r="H162" t="s">
        <v>14</v>
      </c>
      <c r="I162" t="s">
        <v>23</v>
      </c>
      <c r="J162" t="s">
        <v>90</v>
      </c>
      <c r="K162" t="s">
        <v>98</v>
      </c>
      <c r="L162" s="5">
        <v>45759</v>
      </c>
      <c r="M162" s="7">
        <v>0.54513888888888884</v>
      </c>
      <c r="N162" s="7">
        <v>0.71875</v>
      </c>
      <c r="O162" t="s">
        <v>129</v>
      </c>
      <c r="P162" t="s">
        <v>93</v>
      </c>
      <c r="Q162">
        <v>390</v>
      </c>
      <c r="R162">
        <v>16.100000000000001</v>
      </c>
      <c r="S162" t="s">
        <v>94</v>
      </c>
      <c r="T162">
        <v>0</v>
      </c>
      <c r="U162" t="s">
        <v>95</v>
      </c>
      <c r="V162" t="s">
        <v>103</v>
      </c>
      <c r="W162">
        <v>3000</v>
      </c>
    </row>
    <row r="163" spans="1:23" x14ac:dyDescent="0.35">
      <c r="A163" t="s">
        <v>380</v>
      </c>
      <c r="B163" t="s">
        <v>131</v>
      </c>
      <c r="C163">
        <v>28</v>
      </c>
      <c r="D163" t="s">
        <v>18</v>
      </c>
      <c r="E163" t="s">
        <v>52</v>
      </c>
      <c r="F163" t="s">
        <v>132</v>
      </c>
      <c r="G163" t="s">
        <v>21</v>
      </c>
      <c r="H163" t="s">
        <v>33</v>
      </c>
      <c r="I163" t="s">
        <v>28</v>
      </c>
      <c r="J163" t="s">
        <v>108</v>
      </c>
      <c r="K163" t="s">
        <v>104</v>
      </c>
      <c r="L163" s="5">
        <v>45759</v>
      </c>
      <c r="M163" s="7">
        <v>0.32291666666666669</v>
      </c>
      <c r="N163" s="7">
        <v>0.75694444444444442</v>
      </c>
      <c r="O163" t="s">
        <v>133</v>
      </c>
      <c r="P163" t="s">
        <v>118</v>
      </c>
      <c r="Q163">
        <v>980</v>
      </c>
      <c r="R163">
        <v>21</v>
      </c>
      <c r="S163" t="s">
        <v>111</v>
      </c>
      <c r="T163">
        <v>0</v>
      </c>
      <c r="U163" t="s">
        <v>102</v>
      </c>
      <c r="V163" t="s">
        <v>96</v>
      </c>
      <c r="W163">
        <v>7200</v>
      </c>
    </row>
    <row r="164" spans="1:23" x14ac:dyDescent="0.35">
      <c r="A164" t="s">
        <v>381</v>
      </c>
      <c r="B164" t="s">
        <v>135</v>
      </c>
      <c r="C164">
        <v>39</v>
      </c>
      <c r="D164" t="s">
        <v>11</v>
      </c>
      <c r="E164" t="s">
        <v>12</v>
      </c>
      <c r="F164" s="3" t="s">
        <v>136</v>
      </c>
      <c r="G164" t="s">
        <v>13</v>
      </c>
      <c r="H164" t="s">
        <v>15</v>
      </c>
      <c r="I164" t="s">
        <v>22</v>
      </c>
      <c r="J164" t="s">
        <v>91</v>
      </c>
      <c r="K164" t="s">
        <v>97</v>
      </c>
      <c r="L164" s="5">
        <v>45760</v>
      </c>
      <c r="M164" s="7">
        <v>0.47916666666666669</v>
      </c>
      <c r="N164" s="7">
        <v>0.56944444444444442</v>
      </c>
      <c r="O164" t="s">
        <v>137</v>
      </c>
      <c r="P164" t="s">
        <v>93</v>
      </c>
      <c r="Q164">
        <v>110</v>
      </c>
      <c r="R164">
        <v>8.6</v>
      </c>
      <c r="S164" t="s">
        <v>94</v>
      </c>
      <c r="T164">
        <v>0</v>
      </c>
      <c r="U164" t="s">
        <v>95</v>
      </c>
      <c r="V164" t="s">
        <v>103</v>
      </c>
      <c r="W164">
        <v>1500</v>
      </c>
    </row>
    <row r="165" spans="1:23" x14ac:dyDescent="0.35">
      <c r="A165" t="s">
        <v>382</v>
      </c>
      <c r="B165" t="s">
        <v>139</v>
      </c>
      <c r="C165">
        <v>26</v>
      </c>
      <c r="D165" t="s">
        <v>18</v>
      </c>
      <c r="E165" t="s">
        <v>19</v>
      </c>
      <c r="F165" t="s">
        <v>140</v>
      </c>
      <c r="G165" t="s">
        <v>13</v>
      </c>
      <c r="H165" t="s">
        <v>57</v>
      </c>
      <c r="I165" t="s">
        <v>39</v>
      </c>
      <c r="J165" t="s">
        <v>121</v>
      </c>
      <c r="K165" t="s">
        <v>113</v>
      </c>
      <c r="L165" s="5">
        <v>45760</v>
      </c>
      <c r="M165" s="7">
        <v>0.66666666666666663</v>
      </c>
      <c r="N165" s="7">
        <v>0.76736111111111116</v>
      </c>
      <c r="O165" t="s">
        <v>141</v>
      </c>
      <c r="P165" t="s">
        <v>93</v>
      </c>
      <c r="Q165">
        <v>140</v>
      </c>
      <c r="R165">
        <v>11.2</v>
      </c>
      <c r="S165" t="s">
        <v>101</v>
      </c>
      <c r="T165">
        <v>20</v>
      </c>
      <c r="U165" t="s">
        <v>95</v>
      </c>
      <c r="V165" t="s">
        <v>96</v>
      </c>
      <c r="W165">
        <v>2700</v>
      </c>
    </row>
    <row r="166" spans="1:23" x14ac:dyDescent="0.35">
      <c r="A166" t="s">
        <v>383</v>
      </c>
      <c r="B166" t="s">
        <v>143</v>
      </c>
      <c r="C166">
        <v>50</v>
      </c>
      <c r="D166" t="s">
        <v>11</v>
      </c>
      <c r="E166" t="s">
        <v>26</v>
      </c>
      <c r="F166" t="s">
        <v>144</v>
      </c>
      <c r="G166" t="s">
        <v>21</v>
      </c>
      <c r="H166" t="s">
        <v>14</v>
      </c>
      <c r="I166" t="s">
        <v>34</v>
      </c>
      <c r="J166" t="s">
        <v>90</v>
      </c>
      <c r="K166" t="s">
        <v>109</v>
      </c>
      <c r="L166" s="5">
        <v>45761</v>
      </c>
      <c r="M166" s="7">
        <v>0.88194444444444442</v>
      </c>
      <c r="N166" s="7">
        <v>0.2013888888888889</v>
      </c>
      <c r="O166" t="s">
        <v>145</v>
      </c>
      <c r="P166" t="s">
        <v>100</v>
      </c>
      <c r="Q166">
        <v>1450</v>
      </c>
      <c r="R166">
        <v>25.9</v>
      </c>
      <c r="S166" t="s">
        <v>94</v>
      </c>
      <c r="T166">
        <v>0</v>
      </c>
      <c r="U166" t="s">
        <v>107</v>
      </c>
      <c r="V166" t="s">
        <v>125</v>
      </c>
      <c r="W166">
        <v>11800</v>
      </c>
    </row>
    <row r="167" spans="1:23" x14ac:dyDescent="0.35">
      <c r="A167" t="s">
        <v>384</v>
      </c>
      <c r="B167" t="s">
        <v>222</v>
      </c>
      <c r="C167">
        <v>31</v>
      </c>
      <c r="D167" t="s">
        <v>18</v>
      </c>
      <c r="E167" t="s">
        <v>31</v>
      </c>
      <c r="F167" t="s">
        <v>148</v>
      </c>
      <c r="G167" t="s">
        <v>21</v>
      </c>
      <c r="H167" t="s">
        <v>15</v>
      </c>
      <c r="I167" t="s">
        <v>23</v>
      </c>
      <c r="J167" t="s">
        <v>91</v>
      </c>
      <c r="K167" t="s">
        <v>98</v>
      </c>
      <c r="L167" s="5">
        <v>45761</v>
      </c>
      <c r="M167" s="7">
        <v>0.18402777777777779</v>
      </c>
      <c r="N167" s="7">
        <v>0.33333333333333331</v>
      </c>
      <c r="O167" t="s">
        <v>149</v>
      </c>
      <c r="P167" t="s">
        <v>93</v>
      </c>
      <c r="Q167">
        <v>330</v>
      </c>
      <c r="R167">
        <v>13.5</v>
      </c>
      <c r="S167" t="s">
        <v>111</v>
      </c>
      <c r="T167">
        <v>0</v>
      </c>
      <c r="U167" t="s">
        <v>102</v>
      </c>
      <c r="V167" t="s">
        <v>112</v>
      </c>
      <c r="W167">
        <v>2100</v>
      </c>
    </row>
    <row r="168" spans="1:23" x14ac:dyDescent="0.35">
      <c r="A168" t="s">
        <v>385</v>
      </c>
      <c r="B168" t="s">
        <v>224</v>
      </c>
      <c r="C168">
        <v>44</v>
      </c>
      <c r="D168" t="s">
        <v>11</v>
      </c>
      <c r="E168" t="s">
        <v>12</v>
      </c>
      <c r="F168" s="11" t="s">
        <v>225</v>
      </c>
      <c r="G168" t="s">
        <v>13</v>
      </c>
      <c r="H168" t="s">
        <v>22</v>
      </c>
      <c r="I168" t="s">
        <v>57</v>
      </c>
      <c r="J168" t="s">
        <v>97</v>
      </c>
      <c r="K168" t="s">
        <v>121</v>
      </c>
      <c r="L168" s="5">
        <v>45762</v>
      </c>
      <c r="M168" s="7">
        <v>0.38194444444444442</v>
      </c>
      <c r="N168" s="7">
        <v>0.4861111111111111</v>
      </c>
      <c r="O168" t="s">
        <v>226</v>
      </c>
      <c r="P168" t="s">
        <v>93</v>
      </c>
      <c r="Q168">
        <v>125</v>
      </c>
      <c r="R168">
        <v>12</v>
      </c>
      <c r="S168" t="s">
        <v>94</v>
      </c>
      <c r="T168">
        <v>0</v>
      </c>
      <c r="U168" t="s">
        <v>95</v>
      </c>
      <c r="V168" t="s">
        <v>103</v>
      </c>
      <c r="W168">
        <v>2100</v>
      </c>
    </row>
    <row r="169" spans="1:23" x14ac:dyDescent="0.35">
      <c r="A169" t="s">
        <v>386</v>
      </c>
      <c r="B169" t="s">
        <v>30</v>
      </c>
      <c r="C169">
        <v>25</v>
      </c>
      <c r="D169" t="s">
        <v>18</v>
      </c>
      <c r="E169" t="s">
        <v>19</v>
      </c>
      <c r="F169" t="s">
        <v>20</v>
      </c>
      <c r="G169" t="s">
        <v>21</v>
      </c>
      <c r="H169" t="s">
        <v>15</v>
      </c>
      <c r="I169" t="s">
        <v>28</v>
      </c>
      <c r="J169" t="s">
        <v>91</v>
      </c>
      <c r="K169" t="s">
        <v>104</v>
      </c>
      <c r="L169" s="5">
        <v>45762</v>
      </c>
      <c r="M169" s="7">
        <v>5.2083333333333336E-2</v>
      </c>
      <c r="N169" s="7">
        <v>0.40972222222222221</v>
      </c>
      <c r="O169" t="s">
        <v>99</v>
      </c>
      <c r="P169" t="s">
        <v>100</v>
      </c>
      <c r="Q169">
        <v>860</v>
      </c>
      <c r="R169">
        <v>24</v>
      </c>
      <c r="S169" t="s">
        <v>101</v>
      </c>
      <c r="T169">
        <v>50</v>
      </c>
      <c r="U169" t="s">
        <v>102</v>
      </c>
      <c r="V169" t="s">
        <v>96</v>
      </c>
      <c r="W169">
        <v>8400</v>
      </c>
    </row>
    <row r="170" spans="1:23" x14ac:dyDescent="0.35">
      <c r="A170" t="s">
        <v>387</v>
      </c>
      <c r="B170" t="s">
        <v>197</v>
      </c>
      <c r="C170">
        <v>38</v>
      </c>
      <c r="D170" t="s">
        <v>11</v>
      </c>
      <c r="E170" t="s">
        <v>37</v>
      </c>
      <c r="F170" t="s">
        <v>38</v>
      </c>
      <c r="G170" t="s">
        <v>21</v>
      </c>
      <c r="H170" t="s">
        <v>39</v>
      </c>
      <c r="I170" t="s">
        <v>40</v>
      </c>
      <c r="J170" t="s">
        <v>113</v>
      </c>
      <c r="K170" t="s">
        <v>114</v>
      </c>
      <c r="L170" s="5">
        <v>45763</v>
      </c>
      <c r="M170" s="7">
        <v>0.91666666666666663</v>
      </c>
      <c r="N170" s="7">
        <v>0.57291666666666663</v>
      </c>
      <c r="O170" t="s">
        <v>115</v>
      </c>
      <c r="P170" t="s">
        <v>100</v>
      </c>
      <c r="Q170">
        <v>1980</v>
      </c>
      <c r="R170">
        <v>27.5</v>
      </c>
      <c r="S170" t="s">
        <v>94</v>
      </c>
      <c r="T170">
        <v>0</v>
      </c>
      <c r="U170" t="s">
        <v>102</v>
      </c>
      <c r="V170" t="s">
        <v>103</v>
      </c>
      <c r="W170">
        <v>9700</v>
      </c>
    </row>
    <row r="171" spans="1:23" x14ac:dyDescent="0.35">
      <c r="A171" t="s">
        <v>388</v>
      </c>
      <c r="B171" t="s">
        <v>42</v>
      </c>
      <c r="C171">
        <v>31</v>
      </c>
      <c r="D171" t="s">
        <v>18</v>
      </c>
      <c r="E171" t="s">
        <v>43</v>
      </c>
      <c r="F171" t="s">
        <v>44</v>
      </c>
      <c r="G171" t="s">
        <v>21</v>
      </c>
      <c r="H171" t="s">
        <v>15</v>
      </c>
      <c r="I171" t="s">
        <v>45</v>
      </c>
      <c r="J171" t="s">
        <v>91</v>
      </c>
      <c r="K171" t="s">
        <v>116</v>
      </c>
      <c r="L171" s="5">
        <v>45763</v>
      </c>
      <c r="M171" s="7">
        <v>0.15625</v>
      </c>
      <c r="N171" s="7">
        <v>0.47222222222222221</v>
      </c>
      <c r="O171" t="s">
        <v>117</v>
      </c>
      <c r="P171" t="s">
        <v>118</v>
      </c>
      <c r="Q171">
        <v>980</v>
      </c>
      <c r="R171">
        <v>19.3</v>
      </c>
      <c r="S171" t="s">
        <v>94</v>
      </c>
      <c r="T171">
        <v>0</v>
      </c>
      <c r="U171" t="s">
        <v>95</v>
      </c>
      <c r="V171" t="s">
        <v>96</v>
      </c>
      <c r="W171">
        <v>5400</v>
      </c>
    </row>
    <row r="172" spans="1:23" x14ac:dyDescent="0.35">
      <c r="A172" t="s">
        <v>389</v>
      </c>
      <c r="B172" t="s">
        <v>231</v>
      </c>
      <c r="C172">
        <v>35</v>
      </c>
      <c r="D172" t="s">
        <v>11</v>
      </c>
      <c r="E172" t="s">
        <v>26</v>
      </c>
      <c r="F172" t="s">
        <v>232</v>
      </c>
      <c r="G172" t="s">
        <v>21</v>
      </c>
      <c r="H172" t="s">
        <v>22</v>
      </c>
      <c r="I172" t="s">
        <v>28</v>
      </c>
      <c r="J172" t="s">
        <v>97</v>
      </c>
      <c r="K172" t="s">
        <v>104</v>
      </c>
      <c r="L172" s="5">
        <v>45764</v>
      </c>
      <c r="M172" s="7">
        <v>9.0277777777777776E-2</v>
      </c>
      <c r="N172" s="7">
        <v>0.36805555555555558</v>
      </c>
      <c r="O172" t="s">
        <v>119</v>
      </c>
      <c r="P172" t="s">
        <v>100</v>
      </c>
      <c r="Q172">
        <v>1800</v>
      </c>
      <c r="R172">
        <v>26.5</v>
      </c>
      <c r="S172" t="s">
        <v>94</v>
      </c>
      <c r="T172">
        <v>0</v>
      </c>
      <c r="U172" t="s">
        <v>107</v>
      </c>
      <c r="V172" t="s">
        <v>103</v>
      </c>
      <c r="W172">
        <v>12000</v>
      </c>
    </row>
    <row r="173" spans="1:23" x14ac:dyDescent="0.35">
      <c r="A173" t="s">
        <v>390</v>
      </c>
      <c r="B173" t="s">
        <v>234</v>
      </c>
      <c r="C173">
        <v>28</v>
      </c>
      <c r="D173" t="s">
        <v>18</v>
      </c>
      <c r="E173" t="s">
        <v>12</v>
      </c>
      <c r="F173" s="3" t="s">
        <v>235</v>
      </c>
      <c r="G173" t="s">
        <v>13</v>
      </c>
      <c r="H173" t="s">
        <v>14</v>
      </c>
      <c r="I173" t="s">
        <v>15</v>
      </c>
      <c r="J173" t="s">
        <v>90</v>
      </c>
      <c r="K173" t="s">
        <v>91</v>
      </c>
      <c r="L173" s="5">
        <v>45764</v>
      </c>
      <c r="M173" s="7">
        <v>0.28125</v>
      </c>
      <c r="N173" s="7">
        <v>0.3888888888888889</v>
      </c>
      <c r="O173" t="s">
        <v>236</v>
      </c>
      <c r="P173" t="s">
        <v>93</v>
      </c>
      <c r="Q173">
        <v>150</v>
      </c>
      <c r="R173">
        <v>11.2</v>
      </c>
      <c r="S173" t="s">
        <v>101</v>
      </c>
      <c r="T173">
        <v>30</v>
      </c>
      <c r="U173" t="s">
        <v>102</v>
      </c>
      <c r="V173" t="s">
        <v>96</v>
      </c>
      <c r="W173">
        <v>3200</v>
      </c>
    </row>
    <row r="174" spans="1:23" x14ac:dyDescent="0.35">
      <c r="A174" t="s">
        <v>391</v>
      </c>
      <c r="B174" t="s">
        <v>25</v>
      </c>
      <c r="C174">
        <v>41</v>
      </c>
      <c r="D174" t="s">
        <v>11</v>
      </c>
      <c r="E174" t="s">
        <v>26</v>
      </c>
      <c r="F174" t="s">
        <v>27</v>
      </c>
      <c r="G174" t="s">
        <v>21</v>
      </c>
      <c r="H174" t="s">
        <v>15</v>
      </c>
      <c r="I174" t="s">
        <v>28</v>
      </c>
      <c r="J174" t="s">
        <v>91</v>
      </c>
      <c r="K174" t="s">
        <v>104</v>
      </c>
      <c r="L174" s="5">
        <v>45765</v>
      </c>
      <c r="M174" s="7">
        <v>5.5555555555555552E-2</v>
      </c>
      <c r="N174" s="7">
        <v>0.41319444444444442</v>
      </c>
      <c r="O174" t="s">
        <v>105</v>
      </c>
      <c r="P174" t="s">
        <v>106</v>
      </c>
      <c r="Q174">
        <v>2450</v>
      </c>
      <c r="R174">
        <v>30.2</v>
      </c>
      <c r="S174" t="s">
        <v>94</v>
      </c>
      <c r="T174">
        <v>0</v>
      </c>
      <c r="U174" t="s">
        <v>107</v>
      </c>
      <c r="V174" t="s">
        <v>103</v>
      </c>
      <c r="W174">
        <v>13200</v>
      </c>
    </row>
    <row r="175" spans="1:23" x14ac:dyDescent="0.35">
      <c r="A175" t="s">
        <v>392</v>
      </c>
      <c r="B175" t="s">
        <v>30</v>
      </c>
      <c r="C175">
        <v>25</v>
      </c>
      <c r="D175" t="s">
        <v>18</v>
      </c>
      <c r="E175" t="s">
        <v>31</v>
      </c>
      <c r="F175" t="s">
        <v>32</v>
      </c>
      <c r="G175" t="s">
        <v>21</v>
      </c>
      <c r="H175" t="s">
        <v>33</v>
      </c>
      <c r="I175" t="s">
        <v>34</v>
      </c>
      <c r="J175" t="s">
        <v>108</v>
      </c>
      <c r="K175" t="s">
        <v>109</v>
      </c>
      <c r="L175" s="5">
        <v>45765</v>
      </c>
      <c r="M175" s="7">
        <v>0.34027777777777779</v>
      </c>
      <c r="N175" s="7">
        <v>0.58333333333333337</v>
      </c>
      <c r="O175" t="s">
        <v>110</v>
      </c>
      <c r="P175" t="s">
        <v>93</v>
      </c>
      <c r="Q175">
        <v>420</v>
      </c>
      <c r="R175">
        <v>15.6</v>
      </c>
      <c r="S175" t="s">
        <v>111</v>
      </c>
      <c r="T175">
        <v>0</v>
      </c>
      <c r="U175" t="s">
        <v>95</v>
      </c>
      <c r="V175" t="s">
        <v>112</v>
      </c>
      <c r="W175">
        <v>3500</v>
      </c>
    </row>
    <row r="176" spans="1:23" x14ac:dyDescent="0.35">
      <c r="A176" t="s">
        <v>393</v>
      </c>
      <c r="B176" t="s">
        <v>36</v>
      </c>
      <c r="C176">
        <v>38</v>
      </c>
      <c r="D176" t="s">
        <v>11</v>
      </c>
      <c r="E176" t="s">
        <v>37</v>
      </c>
      <c r="F176" t="s">
        <v>38</v>
      </c>
      <c r="G176" t="s">
        <v>21</v>
      </c>
      <c r="H176" t="s">
        <v>39</v>
      </c>
      <c r="I176" t="s">
        <v>40</v>
      </c>
      <c r="J176" t="s">
        <v>113</v>
      </c>
      <c r="K176" t="s">
        <v>114</v>
      </c>
      <c r="L176" s="5">
        <v>45766</v>
      </c>
      <c r="M176" s="7">
        <v>0.91666666666666663</v>
      </c>
      <c r="N176" s="7">
        <v>0.57291666666666663</v>
      </c>
      <c r="O176" t="s">
        <v>115</v>
      </c>
      <c r="P176" t="s">
        <v>100</v>
      </c>
      <c r="Q176">
        <v>1980</v>
      </c>
      <c r="R176">
        <v>27.5</v>
      </c>
      <c r="S176" t="s">
        <v>94</v>
      </c>
      <c r="T176">
        <v>0</v>
      </c>
      <c r="U176" t="s">
        <v>102</v>
      </c>
      <c r="V176" t="s">
        <v>103</v>
      </c>
      <c r="W176">
        <v>9700</v>
      </c>
    </row>
    <row r="177" spans="1:23" x14ac:dyDescent="0.35">
      <c r="A177" t="s">
        <v>394</v>
      </c>
      <c r="B177" t="s">
        <v>42</v>
      </c>
      <c r="C177">
        <v>31</v>
      </c>
      <c r="D177" t="s">
        <v>18</v>
      </c>
      <c r="E177" t="s">
        <v>43</v>
      </c>
      <c r="F177" t="s">
        <v>44</v>
      </c>
      <c r="G177" t="s">
        <v>21</v>
      </c>
      <c r="H177" t="s">
        <v>15</v>
      </c>
      <c r="I177" t="s">
        <v>45</v>
      </c>
      <c r="J177" t="s">
        <v>91</v>
      </c>
      <c r="K177" t="s">
        <v>116</v>
      </c>
      <c r="L177" s="5">
        <v>45766</v>
      </c>
      <c r="M177" s="7">
        <v>0.15625</v>
      </c>
      <c r="N177" s="7">
        <v>0.47222222222222221</v>
      </c>
      <c r="O177" t="s">
        <v>117</v>
      </c>
      <c r="P177" t="s">
        <v>118</v>
      </c>
      <c r="Q177">
        <v>980</v>
      </c>
      <c r="R177">
        <v>19.3</v>
      </c>
      <c r="S177" t="s">
        <v>101</v>
      </c>
      <c r="T177">
        <v>35</v>
      </c>
      <c r="U177" t="s">
        <v>95</v>
      </c>
      <c r="V177" t="s">
        <v>96</v>
      </c>
      <c r="W177">
        <v>5400</v>
      </c>
    </row>
    <row r="178" spans="1:23" x14ac:dyDescent="0.35">
      <c r="A178" t="s">
        <v>395</v>
      </c>
      <c r="B178" t="s">
        <v>47</v>
      </c>
      <c r="C178">
        <v>45</v>
      </c>
      <c r="D178" t="s">
        <v>11</v>
      </c>
      <c r="E178" t="s">
        <v>48</v>
      </c>
      <c r="F178" t="s">
        <v>49</v>
      </c>
      <c r="G178" t="s">
        <v>21</v>
      </c>
      <c r="H178" t="s">
        <v>14</v>
      </c>
      <c r="I178" t="s">
        <v>28</v>
      </c>
      <c r="J178" t="s">
        <v>90</v>
      </c>
      <c r="K178" t="s">
        <v>104</v>
      </c>
      <c r="L178" s="5">
        <v>45767</v>
      </c>
      <c r="M178" s="7">
        <v>0.42708333333333331</v>
      </c>
      <c r="N178" s="7">
        <v>0.77083333333333337</v>
      </c>
      <c r="O178" t="s">
        <v>119</v>
      </c>
      <c r="P178" t="s">
        <v>100</v>
      </c>
      <c r="Q178">
        <v>1650</v>
      </c>
      <c r="R178">
        <v>26.8</v>
      </c>
      <c r="S178" t="s">
        <v>94</v>
      </c>
      <c r="T178">
        <v>0</v>
      </c>
      <c r="U178" t="s">
        <v>107</v>
      </c>
      <c r="V178" t="s">
        <v>103</v>
      </c>
      <c r="W178">
        <v>11000</v>
      </c>
    </row>
    <row r="179" spans="1:23" x14ac:dyDescent="0.35">
      <c r="A179" t="s">
        <v>396</v>
      </c>
      <c r="B179" t="s">
        <v>51</v>
      </c>
      <c r="C179">
        <v>27</v>
      </c>
      <c r="D179" t="s">
        <v>18</v>
      </c>
      <c r="E179" t="s">
        <v>52</v>
      </c>
      <c r="F179" t="s">
        <v>53</v>
      </c>
      <c r="G179" t="s">
        <v>21</v>
      </c>
      <c r="H179" t="s">
        <v>22</v>
      </c>
      <c r="I179" t="s">
        <v>40</v>
      </c>
      <c r="J179" t="s">
        <v>97</v>
      </c>
      <c r="K179" t="s">
        <v>114</v>
      </c>
      <c r="L179" s="5">
        <v>45767</v>
      </c>
      <c r="M179" s="7">
        <v>0.24305555555555555</v>
      </c>
      <c r="N179" s="7">
        <v>0.72222222222222221</v>
      </c>
      <c r="O179" t="s">
        <v>120</v>
      </c>
      <c r="P179" t="s">
        <v>93</v>
      </c>
      <c r="Q179">
        <v>740</v>
      </c>
      <c r="R179">
        <v>17.2</v>
      </c>
      <c r="S179" t="s">
        <v>111</v>
      </c>
      <c r="T179">
        <v>0</v>
      </c>
      <c r="U179" t="s">
        <v>95</v>
      </c>
      <c r="V179" t="s">
        <v>96</v>
      </c>
      <c r="W179">
        <v>4100</v>
      </c>
    </row>
    <row r="180" spans="1:23" x14ac:dyDescent="0.35">
      <c r="A180" t="s">
        <v>397</v>
      </c>
      <c r="B180" t="s">
        <v>55</v>
      </c>
      <c r="C180">
        <v>36</v>
      </c>
      <c r="D180" t="s">
        <v>11</v>
      </c>
      <c r="E180" t="s">
        <v>12</v>
      </c>
      <c r="F180" s="3" t="s">
        <v>56</v>
      </c>
      <c r="G180" t="s">
        <v>13</v>
      </c>
      <c r="H180" t="s">
        <v>57</v>
      </c>
      <c r="I180" t="s">
        <v>33</v>
      </c>
      <c r="J180" t="s">
        <v>121</v>
      </c>
      <c r="K180" t="s">
        <v>108</v>
      </c>
      <c r="L180" s="5">
        <v>45768</v>
      </c>
      <c r="M180" s="7">
        <v>0.60069444444444442</v>
      </c>
      <c r="N180" s="7">
        <v>0.71527777777777779</v>
      </c>
      <c r="O180" t="s">
        <v>122</v>
      </c>
      <c r="P180" t="s">
        <v>93</v>
      </c>
      <c r="Q180">
        <v>125</v>
      </c>
      <c r="R180">
        <v>12</v>
      </c>
      <c r="S180" t="s">
        <v>94</v>
      </c>
      <c r="T180">
        <v>0</v>
      </c>
      <c r="U180" t="s">
        <v>102</v>
      </c>
      <c r="V180" t="s">
        <v>103</v>
      </c>
      <c r="W180">
        <v>1800</v>
      </c>
    </row>
    <row r="181" spans="1:23" x14ac:dyDescent="0.35">
      <c r="A181" t="s">
        <v>398</v>
      </c>
      <c r="B181" t="s">
        <v>59</v>
      </c>
      <c r="C181">
        <v>30</v>
      </c>
      <c r="D181" t="s">
        <v>18</v>
      </c>
      <c r="E181" t="s">
        <v>19</v>
      </c>
      <c r="F181" t="s">
        <v>60</v>
      </c>
      <c r="G181" t="s">
        <v>13</v>
      </c>
      <c r="H181" t="s">
        <v>15</v>
      </c>
      <c r="I181" t="s">
        <v>14</v>
      </c>
      <c r="J181" t="s">
        <v>91</v>
      </c>
      <c r="K181" t="s">
        <v>90</v>
      </c>
      <c r="L181" s="5">
        <v>45768</v>
      </c>
      <c r="M181" s="7">
        <v>0.40277777777777779</v>
      </c>
      <c r="N181" s="7">
        <v>0.51736111111111116</v>
      </c>
      <c r="O181" t="s">
        <v>123</v>
      </c>
      <c r="P181" t="s">
        <v>118</v>
      </c>
      <c r="Q181">
        <v>310</v>
      </c>
      <c r="R181">
        <v>20.5</v>
      </c>
      <c r="S181" t="s">
        <v>101</v>
      </c>
      <c r="T181">
        <v>35</v>
      </c>
      <c r="U181" t="s">
        <v>95</v>
      </c>
      <c r="V181" t="s">
        <v>96</v>
      </c>
      <c r="W181">
        <v>6200</v>
      </c>
    </row>
    <row r="182" spans="1:23" x14ac:dyDescent="0.35">
      <c r="A182" t="s">
        <v>399</v>
      </c>
      <c r="B182" t="s">
        <v>62</v>
      </c>
      <c r="C182">
        <v>52</v>
      </c>
      <c r="D182" t="s">
        <v>11</v>
      </c>
      <c r="E182" t="s">
        <v>26</v>
      </c>
      <c r="F182" t="s">
        <v>63</v>
      </c>
      <c r="G182" t="s">
        <v>21</v>
      </c>
      <c r="H182" t="s">
        <v>22</v>
      </c>
      <c r="I182" t="s">
        <v>23</v>
      </c>
      <c r="J182" t="s">
        <v>97</v>
      </c>
      <c r="K182" t="s">
        <v>98</v>
      </c>
      <c r="L182" s="5">
        <v>45769</v>
      </c>
      <c r="M182" s="7">
        <v>0.96875</v>
      </c>
      <c r="N182" s="7">
        <v>0.12152777777777778</v>
      </c>
      <c r="O182" t="s">
        <v>124</v>
      </c>
      <c r="P182" t="s">
        <v>100</v>
      </c>
      <c r="Q182">
        <v>1200</v>
      </c>
      <c r="R182">
        <v>28</v>
      </c>
      <c r="S182" t="s">
        <v>94</v>
      </c>
      <c r="T182">
        <v>0</v>
      </c>
      <c r="U182" t="s">
        <v>107</v>
      </c>
      <c r="V182" t="s">
        <v>125</v>
      </c>
      <c r="W182">
        <v>14000</v>
      </c>
    </row>
    <row r="183" spans="1:23" x14ac:dyDescent="0.35">
      <c r="A183" t="s">
        <v>400</v>
      </c>
      <c r="B183" t="s">
        <v>65</v>
      </c>
      <c r="C183">
        <v>24</v>
      </c>
      <c r="D183" t="s">
        <v>18</v>
      </c>
      <c r="E183" t="s">
        <v>12</v>
      </c>
      <c r="F183" s="3" t="s">
        <v>66</v>
      </c>
      <c r="G183" t="s">
        <v>13</v>
      </c>
      <c r="H183" t="s">
        <v>39</v>
      </c>
      <c r="I183" t="s">
        <v>15</v>
      </c>
      <c r="J183" t="s">
        <v>113</v>
      </c>
      <c r="K183" t="s">
        <v>91</v>
      </c>
      <c r="L183" s="5">
        <v>45769</v>
      </c>
      <c r="M183" s="7">
        <v>0.25694444444444442</v>
      </c>
      <c r="N183" s="7">
        <v>0.3611111111111111</v>
      </c>
      <c r="O183" t="s">
        <v>126</v>
      </c>
      <c r="P183" t="s">
        <v>93</v>
      </c>
      <c r="Q183">
        <v>160</v>
      </c>
      <c r="R183">
        <v>10.4</v>
      </c>
      <c r="S183" t="s">
        <v>111</v>
      </c>
      <c r="T183">
        <v>0</v>
      </c>
      <c r="U183" t="s">
        <v>102</v>
      </c>
      <c r="V183" t="s">
        <v>112</v>
      </c>
      <c r="W183">
        <v>900</v>
      </c>
    </row>
    <row r="184" spans="1:23" x14ac:dyDescent="0.35">
      <c r="A184" t="s">
        <v>401</v>
      </c>
      <c r="B184" t="s">
        <v>68</v>
      </c>
      <c r="C184">
        <v>40</v>
      </c>
      <c r="D184" t="s">
        <v>11</v>
      </c>
      <c r="E184" t="s">
        <v>37</v>
      </c>
      <c r="F184" t="s">
        <v>69</v>
      </c>
      <c r="G184" t="s">
        <v>21</v>
      </c>
      <c r="H184" t="s">
        <v>33</v>
      </c>
      <c r="I184" t="s">
        <v>34</v>
      </c>
      <c r="J184" t="s">
        <v>108</v>
      </c>
      <c r="K184" t="s">
        <v>109</v>
      </c>
      <c r="L184" s="5">
        <v>45770</v>
      </c>
      <c r="M184" s="7">
        <v>0.84722222222222221</v>
      </c>
      <c r="N184" s="7">
        <v>9.0277777777777776E-2</v>
      </c>
      <c r="O184" t="s">
        <v>127</v>
      </c>
      <c r="P184" t="s">
        <v>100</v>
      </c>
      <c r="Q184">
        <v>1340</v>
      </c>
      <c r="R184">
        <v>22.6</v>
      </c>
      <c r="S184" t="s">
        <v>94</v>
      </c>
      <c r="T184">
        <v>0</v>
      </c>
      <c r="U184" t="s">
        <v>95</v>
      </c>
      <c r="V184" t="s">
        <v>103</v>
      </c>
      <c r="W184">
        <v>8700</v>
      </c>
    </row>
    <row r="185" spans="1:23" x14ac:dyDescent="0.35">
      <c r="A185" t="s">
        <v>402</v>
      </c>
      <c r="B185" t="s">
        <v>71</v>
      </c>
      <c r="C185">
        <v>33</v>
      </c>
      <c r="D185" t="s">
        <v>18</v>
      </c>
      <c r="E185" t="s">
        <v>43</v>
      </c>
      <c r="F185" t="s">
        <v>72</v>
      </c>
      <c r="G185" t="s">
        <v>21</v>
      </c>
      <c r="H185" t="s">
        <v>15</v>
      </c>
      <c r="I185" t="s">
        <v>40</v>
      </c>
      <c r="J185" t="s">
        <v>91</v>
      </c>
      <c r="K185" t="s">
        <v>114</v>
      </c>
      <c r="L185" s="5">
        <v>45770</v>
      </c>
      <c r="M185" s="7">
        <v>0.11805555555555555</v>
      </c>
      <c r="N185" s="7">
        <v>0.64583333333333337</v>
      </c>
      <c r="O185" t="s">
        <v>128</v>
      </c>
      <c r="P185" t="s">
        <v>106</v>
      </c>
      <c r="Q185">
        <v>2600</v>
      </c>
      <c r="R185">
        <v>31.4</v>
      </c>
      <c r="S185" t="s">
        <v>101</v>
      </c>
      <c r="T185">
        <v>90</v>
      </c>
      <c r="U185" t="s">
        <v>107</v>
      </c>
      <c r="V185" t="s">
        <v>96</v>
      </c>
      <c r="W185">
        <v>15000</v>
      </c>
    </row>
    <row r="186" spans="1:23" x14ac:dyDescent="0.35">
      <c r="A186" t="s">
        <v>403</v>
      </c>
      <c r="B186" t="s">
        <v>74</v>
      </c>
      <c r="C186">
        <v>47</v>
      </c>
      <c r="D186" t="s">
        <v>11</v>
      </c>
      <c r="E186" t="s">
        <v>19</v>
      </c>
      <c r="F186" t="s">
        <v>75</v>
      </c>
      <c r="G186" t="s">
        <v>21</v>
      </c>
      <c r="H186" t="s">
        <v>14</v>
      </c>
      <c r="I186" t="s">
        <v>23</v>
      </c>
      <c r="J186" t="s">
        <v>90</v>
      </c>
      <c r="K186" t="s">
        <v>98</v>
      </c>
      <c r="L186" s="5">
        <v>45771</v>
      </c>
      <c r="M186" s="7">
        <v>0.54513888888888884</v>
      </c>
      <c r="N186" s="7">
        <v>0.71875</v>
      </c>
      <c r="O186" t="s">
        <v>129</v>
      </c>
      <c r="P186" t="s">
        <v>93</v>
      </c>
      <c r="Q186">
        <v>390</v>
      </c>
      <c r="R186">
        <v>16.100000000000001</v>
      </c>
      <c r="S186" t="s">
        <v>94</v>
      </c>
      <c r="T186">
        <v>0</v>
      </c>
      <c r="U186" t="s">
        <v>95</v>
      </c>
      <c r="V186" t="s">
        <v>103</v>
      </c>
      <c r="W186">
        <v>3000</v>
      </c>
    </row>
    <row r="187" spans="1:23" x14ac:dyDescent="0.35">
      <c r="A187" t="s">
        <v>404</v>
      </c>
      <c r="B187" t="s">
        <v>131</v>
      </c>
      <c r="C187">
        <v>28</v>
      </c>
      <c r="D187" t="s">
        <v>18</v>
      </c>
      <c r="E187" t="s">
        <v>52</v>
      </c>
      <c r="F187" t="s">
        <v>132</v>
      </c>
      <c r="G187" t="s">
        <v>21</v>
      </c>
      <c r="H187" t="s">
        <v>33</v>
      </c>
      <c r="I187" t="s">
        <v>28</v>
      </c>
      <c r="J187" t="s">
        <v>108</v>
      </c>
      <c r="K187" t="s">
        <v>104</v>
      </c>
      <c r="L187" s="5">
        <v>45771</v>
      </c>
      <c r="M187" s="7">
        <v>0.32291666666666669</v>
      </c>
      <c r="N187" s="7">
        <v>0.75694444444444442</v>
      </c>
      <c r="O187" t="s">
        <v>133</v>
      </c>
      <c r="P187" t="s">
        <v>118</v>
      </c>
      <c r="Q187">
        <v>980</v>
      </c>
      <c r="R187">
        <v>21</v>
      </c>
      <c r="S187" t="s">
        <v>111</v>
      </c>
      <c r="T187">
        <v>0</v>
      </c>
      <c r="U187" t="s">
        <v>102</v>
      </c>
      <c r="V187" t="s">
        <v>96</v>
      </c>
      <c r="W187">
        <v>7200</v>
      </c>
    </row>
    <row r="188" spans="1:23" x14ac:dyDescent="0.35">
      <c r="A188" t="s">
        <v>405</v>
      </c>
      <c r="B188" t="s">
        <v>135</v>
      </c>
      <c r="C188">
        <v>39</v>
      </c>
      <c r="D188" t="s">
        <v>11</v>
      </c>
      <c r="E188" t="s">
        <v>12</v>
      </c>
      <c r="F188" s="3" t="s">
        <v>136</v>
      </c>
      <c r="G188" t="s">
        <v>13</v>
      </c>
      <c r="H188" t="s">
        <v>15</v>
      </c>
      <c r="I188" t="s">
        <v>22</v>
      </c>
      <c r="J188" t="s">
        <v>91</v>
      </c>
      <c r="K188" t="s">
        <v>97</v>
      </c>
      <c r="L188" s="5">
        <v>45772</v>
      </c>
      <c r="M188" s="7">
        <v>0.47916666666666669</v>
      </c>
      <c r="N188" s="7">
        <v>0.56944444444444442</v>
      </c>
      <c r="O188" t="s">
        <v>137</v>
      </c>
      <c r="P188" t="s">
        <v>93</v>
      </c>
      <c r="Q188">
        <v>110</v>
      </c>
      <c r="R188">
        <v>8.6</v>
      </c>
      <c r="S188" t="s">
        <v>94</v>
      </c>
      <c r="T188">
        <v>0</v>
      </c>
      <c r="U188" t="s">
        <v>95</v>
      </c>
      <c r="V188" t="s">
        <v>103</v>
      </c>
      <c r="W188">
        <v>1500</v>
      </c>
    </row>
    <row r="189" spans="1:23" x14ac:dyDescent="0.35">
      <c r="A189" t="s">
        <v>406</v>
      </c>
      <c r="B189" t="s">
        <v>139</v>
      </c>
      <c r="C189">
        <v>26</v>
      </c>
      <c r="D189" t="s">
        <v>18</v>
      </c>
      <c r="E189" t="s">
        <v>19</v>
      </c>
      <c r="F189" t="s">
        <v>140</v>
      </c>
      <c r="G189" t="s">
        <v>13</v>
      </c>
      <c r="H189" t="s">
        <v>57</v>
      </c>
      <c r="I189" t="s">
        <v>39</v>
      </c>
      <c r="J189" t="s">
        <v>121</v>
      </c>
      <c r="K189" t="s">
        <v>113</v>
      </c>
      <c r="L189" s="5">
        <v>45772</v>
      </c>
      <c r="M189" s="7">
        <v>0.66666666666666663</v>
      </c>
      <c r="N189" s="7">
        <v>0.76736111111111116</v>
      </c>
      <c r="O189" t="s">
        <v>141</v>
      </c>
      <c r="P189" t="s">
        <v>93</v>
      </c>
      <c r="Q189">
        <v>140</v>
      </c>
      <c r="R189">
        <v>11.2</v>
      </c>
      <c r="S189" t="s">
        <v>101</v>
      </c>
      <c r="T189">
        <v>20</v>
      </c>
      <c r="U189" t="s">
        <v>95</v>
      </c>
      <c r="V189" t="s">
        <v>96</v>
      </c>
      <c r="W189">
        <v>2700</v>
      </c>
    </row>
    <row r="190" spans="1:23" x14ac:dyDescent="0.35">
      <c r="A190" t="s">
        <v>407</v>
      </c>
      <c r="B190" t="s">
        <v>143</v>
      </c>
      <c r="C190">
        <v>50</v>
      </c>
      <c r="D190" t="s">
        <v>11</v>
      </c>
      <c r="E190" t="s">
        <v>26</v>
      </c>
      <c r="F190" t="s">
        <v>144</v>
      </c>
      <c r="G190" t="s">
        <v>21</v>
      </c>
      <c r="H190" t="s">
        <v>14</v>
      </c>
      <c r="I190" t="s">
        <v>34</v>
      </c>
      <c r="J190" t="s">
        <v>90</v>
      </c>
      <c r="K190" t="s">
        <v>109</v>
      </c>
      <c r="L190" s="5">
        <v>45773</v>
      </c>
      <c r="M190" s="7">
        <v>0.88194444444444442</v>
      </c>
      <c r="N190" s="7">
        <v>0.2013888888888889</v>
      </c>
      <c r="O190" t="s">
        <v>145</v>
      </c>
      <c r="P190" t="s">
        <v>100</v>
      </c>
      <c r="Q190">
        <v>1450</v>
      </c>
      <c r="R190">
        <v>25.9</v>
      </c>
      <c r="S190" t="s">
        <v>94</v>
      </c>
      <c r="T190">
        <v>0</v>
      </c>
      <c r="U190" t="s">
        <v>107</v>
      </c>
      <c r="V190" t="s">
        <v>125</v>
      </c>
      <c r="W190">
        <v>11800</v>
      </c>
    </row>
    <row r="191" spans="1:23" x14ac:dyDescent="0.35">
      <c r="A191" t="s">
        <v>408</v>
      </c>
      <c r="B191" t="s">
        <v>222</v>
      </c>
      <c r="C191">
        <v>31</v>
      </c>
      <c r="D191" t="s">
        <v>18</v>
      </c>
      <c r="E191" t="s">
        <v>31</v>
      </c>
      <c r="F191" t="s">
        <v>148</v>
      </c>
      <c r="G191" t="s">
        <v>21</v>
      </c>
      <c r="H191" t="s">
        <v>15</v>
      </c>
      <c r="I191" t="s">
        <v>23</v>
      </c>
      <c r="J191" t="s">
        <v>91</v>
      </c>
      <c r="K191" t="s">
        <v>98</v>
      </c>
      <c r="L191" s="5">
        <v>45773</v>
      </c>
      <c r="M191" s="7">
        <v>0.18402777777777779</v>
      </c>
      <c r="N191" s="7">
        <v>0.33333333333333331</v>
      </c>
      <c r="O191" t="s">
        <v>149</v>
      </c>
      <c r="P191" t="s">
        <v>93</v>
      </c>
      <c r="Q191">
        <v>330</v>
      </c>
      <c r="R191">
        <v>13.5</v>
      </c>
      <c r="S191" t="s">
        <v>111</v>
      </c>
      <c r="T191">
        <v>0</v>
      </c>
      <c r="U191" t="s">
        <v>102</v>
      </c>
      <c r="V191" t="s">
        <v>112</v>
      </c>
      <c r="W191">
        <v>2100</v>
      </c>
    </row>
    <row r="192" spans="1:23" x14ac:dyDescent="0.35">
      <c r="A192" t="s">
        <v>409</v>
      </c>
      <c r="B192" t="s">
        <v>224</v>
      </c>
      <c r="C192">
        <v>44</v>
      </c>
      <c r="D192" t="s">
        <v>11</v>
      </c>
      <c r="E192" t="s">
        <v>12</v>
      </c>
      <c r="F192" s="11" t="s">
        <v>225</v>
      </c>
      <c r="G192" t="s">
        <v>13</v>
      </c>
      <c r="H192" t="s">
        <v>22</v>
      </c>
      <c r="I192" t="s">
        <v>57</v>
      </c>
      <c r="J192" t="s">
        <v>97</v>
      </c>
      <c r="K192" t="s">
        <v>121</v>
      </c>
      <c r="L192" s="5">
        <v>45774</v>
      </c>
      <c r="M192" s="7">
        <v>0.38194444444444442</v>
      </c>
      <c r="N192" s="7">
        <v>0.4861111111111111</v>
      </c>
      <c r="O192" t="s">
        <v>226</v>
      </c>
      <c r="P192" t="s">
        <v>93</v>
      </c>
      <c r="Q192">
        <v>125</v>
      </c>
      <c r="R192">
        <v>12</v>
      </c>
      <c r="S192" t="s">
        <v>94</v>
      </c>
      <c r="T192">
        <v>0</v>
      </c>
      <c r="U192" t="s">
        <v>95</v>
      </c>
      <c r="V192" t="s">
        <v>103</v>
      </c>
      <c r="W192">
        <v>2100</v>
      </c>
    </row>
    <row r="193" spans="1:23" x14ac:dyDescent="0.35">
      <c r="A193" t="s">
        <v>410</v>
      </c>
      <c r="B193" t="s">
        <v>30</v>
      </c>
      <c r="C193">
        <v>25</v>
      </c>
      <c r="D193" t="s">
        <v>18</v>
      </c>
      <c r="E193" t="s">
        <v>19</v>
      </c>
      <c r="F193" t="s">
        <v>20</v>
      </c>
      <c r="G193" t="s">
        <v>21</v>
      </c>
      <c r="H193" t="s">
        <v>15</v>
      </c>
      <c r="I193" t="s">
        <v>28</v>
      </c>
      <c r="J193" t="s">
        <v>91</v>
      </c>
      <c r="K193" t="s">
        <v>104</v>
      </c>
      <c r="L193" s="5">
        <v>45774</v>
      </c>
      <c r="M193" s="7">
        <v>5.2083333333333336E-2</v>
      </c>
      <c r="N193" s="7">
        <v>0.40972222222222221</v>
      </c>
      <c r="O193" t="s">
        <v>99</v>
      </c>
      <c r="P193" t="s">
        <v>100</v>
      </c>
      <c r="Q193">
        <v>860</v>
      </c>
      <c r="R193">
        <v>24</v>
      </c>
      <c r="S193" t="s">
        <v>101</v>
      </c>
      <c r="T193">
        <v>50</v>
      </c>
      <c r="U193" t="s">
        <v>102</v>
      </c>
      <c r="V193" t="s">
        <v>96</v>
      </c>
      <c r="W193">
        <v>8400</v>
      </c>
    </row>
    <row r="194" spans="1:23" x14ac:dyDescent="0.35">
      <c r="A194" t="s">
        <v>411</v>
      </c>
      <c r="B194" t="s">
        <v>197</v>
      </c>
      <c r="C194">
        <v>38</v>
      </c>
      <c r="D194" t="s">
        <v>11</v>
      </c>
      <c r="E194" t="s">
        <v>37</v>
      </c>
      <c r="F194" t="s">
        <v>38</v>
      </c>
      <c r="G194" t="s">
        <v>21</v>
      </c>
      <c r="H194" t="s">
        <v>39</v>
      </c>
      <c r="I194" t="s">
        <v>40</v>
      </c>
      <c r="J194" t="s">
        <v>113</v>
      </c>
      <c r="K194" t="s">
        <v>114</v>
      </c>
      <c r="L194" s="5">
        <v>45775</v>
      </c>
      <c r="M194" s="7">
        <v>0.91666666666666663</v>
      </c>
      <c r="N194" s="7">
        <v>0.57291666666666663</v>
      </c>
      <c r="O194" t="s">
        <v>115</v>
      </c>
      <c r="P194" t="s">
        <v>100</v>
      </c>
      <c r="Q194">
        <v>1980</v>
      </c>
      <c r="R194">
        <v>27.5</v>
      </c>
      <c r="S194" t="s">
        <v>94</v>
      </c>
      <c r="T194">
        <v>0</v>
      </c>
      <c r="U194" t="s">
        <v>102</v>
      </c>
      <c r="V194" t="s">
        <v>103</v>
      </c>
      <c r="W194">
        <v>9700</v>
      </c>
    </row>
    <row r="195" spans="1:23" x14ac:dyDescent="0.35">
      <c r="A195" t="s">
        <v>412</v>
      </c>
      <c r="B195" t="s">
        <v>42</v>
      </c>
      <c r="C195">
        <v>31</v>
      </c>
      <c r="D195" t="s">
        <v>18</v>
      </c>
      <c r="E195" t="s">
        <v>43</v>
      </c>
      <c r="F195" t="s">
        <v>44</v>
      </c>
      <c r="G195" t="s">
        <v>21</v>
      </c>
      <c r="H195" t="s">
        <v>15</v>
      </c>
      <c r="I195" t="s">
        <v>45</v>
      </c>
      <c r="J195" t="s">
        <v>91</v>
      </c>
      <c r="K195" t="s">
        <v>116</v>
      </c>
      <c r="L195" s="5">
        <v>45775</v>
      </c>
      <c r="M195" s="7">
        <v>0.15625</v>
      </c>
      <c r="N195" s="7">
        <v>0.47222222222222221</v>
      </c>
      <c r="O195" t="s">
        <v>117</v>
      </c>
      <c r="P195" t="s">
        <v>118</v>
      </c>
      <c r="Q195">
        <v>980</v>
      </c>
      <c r="R195">
        <v>19.3</v>
      </c>
      <c r="S195" t="s">
        <v>94</v>
      </c>
      <c r="T195">
        <v>0</v>
      </c>
      <c r="U195" t="s">
        <v>95</v>
      </c>
      <c r="V195" t="s">
        <v>96</v>
      </c>
      <c r="W195">
        <v>5400</v>
      </c>
    </row>
    <row r="196" spans="1:23" x14ac:dyDescent="0.35">
      <c r="A196" t="s">
        <v>413</v>
      </c>
      <c r="B196" t="s">
        <v>231</v>
      </c>
      <c r="C196">
        <v>35</v>
      </c>
      <c r="D196" t="s">
        <v>11</v>
      </c>
      <c r="E196" t="s">
        <v>26</v>
      </c>
      <c r="F196" t="s">
        <v>232</v>
      </c>
      <c r="G196" t="s">
        <v>21</v>
      </c>
      <c r="H196" t="s">
        <v>22</v>
      </c>
      <c r="I196" t="s">
        <v>28</v>
      </c>
      <c r="J196" t="s">
        <v>97</v>
      </c>
      <c r="K196" t="s">
        <v>104</v>
      </c>
      <c r="L196" s="5">
        <v>45776</v>
      </c>
      <c r="M196" s="7">
        <v>9.0277777777777776E-2</v>
      </c>
      <c r="N196" s="7">
        <v>0.36805555555555558</v>
      </c>
      <c r="O196" t="s">
        <v>119</v>
      </c>
      <c r="P196" t="s">
        <v>100</v>
      </c>
      <c r="Q196">
        <v>1800</v>
      </c>
      <c r="R196">
        <v>26.5</v>
      </c>
      <c r="S196" t="s">
        <v>94</v>
      </c>
      <c r="T196">
        <v>0</v>
      </c>
      <c r="U196" t="s">
        <v>107</v>
      </c>
      <c r="V196" t="s">
        <v>103</v>
      </c>
      <c r="W196">
        <v>12000</v>
      </c>
    </row>
    <row r="197" spans="1:23" x14ac:dyDescent="0.35">
      <c r="A197" t="s">
        <v>414</v>
      </c>
      <c r="B197" t="s">
        <v>234</v>
      </c>
      <c r="C197">
        <v>28</v>
      </c>
      <c r="D197" t="s">
        <v>18</v>
      </c>
      <c r="E197" t="s">
        <v>12</v>
      </c>
      <c r="F197" s="3" t="s">
        <v>235</v>
      </c>
      <c r="G197" t="s">
        <v>13</v>
      </c>
      <c r="H197" t="s">
        <v>14</v>
      </c>
      <c r="I197" t="s">
        <v>15</v>
      </c>
      <c r="J197" t="s">
        <v>90</v>
      </c>
      <c r="K197" t="s">
        <v>91</v>
      </c>
      <c r="L197" s="5">
        <v>45776</v>
      </c>
      <c r="M197" s="7">
        <v>0.28125</v>
      </c>
      <c r="N197" s="7">
        <v>0.3888888888888889</v>
      </c>
      <c r="O197" t="s">
        <v>236</v>
      </c>
      <c r="P197" t="s">
        <v>93</v>
      </c>
      <c r="Q197">
        <v>150</v>
      </c>
      <c r="R197">
        <v>11.2</v>
      </c>
      <c r="S197" t="s">
        <v>101</v>
      </c>
      <c r="T197">
        <v>30</v>
      </c>
      <c r="U197" t="s">
        <v>102</v>
      </c>
      <c r="V197" t="s">
        <v>96</v>
      </c>
      <c r="W197">
        <v>3200</v>
      </c>
    </row>
    <row r="198" spans="1:23" x14ac:dyDescent="0.35">
      <c r="A198" t="s">
        <v>415</v>
      </c>
      <c r="B198" t="s">
        <v>25</v>
      </c>
      <c r="C198">
        <v>41</v>
      </c>
      <c r="D198" t="s">
        <v>11</v>
      </c>
      <c r="E198" t="s">
        <v>26</v>
      </c>
      <c r="F198" t="s">
        <v>27</v>
      </c>
      <c r="G198" t="s">
        <v>21</v>
      </c>
      <c r="H198" t="s">
        <v>15</v>
      </c>
      <c r="I198" t="s">
        <v>28</v>
      </c>
      <c r="J198" t="s">
        <v>91</v>
      </c>
      <c r="K198" t="s">
        <v>104</v>
      </c>
      <c r="L198" s="5">
        <v>45777</v>
      </c>
      <c r="M198" s="7">
        <v>5.5555555555555552E-2</v>
      </c>
      <c r="N198" s="7">
        <v>0.41319444444444442</v>
      </c>
      <c r="O198" t="s">
        <v>105</v>
      </c>
      <c r="P198" t="s">
        <v>106</v>
      </c>
      <c r="Q198">
        <v>2450</v>
      </c>
      <c r="R198">
        <v>30.2</v>
      </c>
      <c r="S198" t="s">
        <v>94</v>
      </c>
      <c r="T198">
        <v>0</v>
      </c>
      <c r="U198" t="s">
        <v>107</v>
      </c>
      <c r="V198" t="s">
        <v>103</v>
      </c>
      <c r="W198">
        <v>13200</v>
      </c>
    </row>
    <row r="199" spans="1:23" x14ac:dyDescent="0.35">
      <c r="A199" t="s">
        <v>416</v>
      </c>
      <c r="B199" t="s">
        <v>30</v>
      </c>
      <c r="C199">
        <v>25</v>
      </c>
      <c r="D199" t="s">
        <v>18</v>
      </c>
      <c r="E199" t="s">
        <v>31</v>
      </c>
      <c r="F199" t="s">
        <v>32</v>
      </c>
      <c r="G199" t="s">
        <v>21</v>
      </c>
      <c r="H199" t="s">
        <v>33</v>
      </c>
      <c r="I199" t="s">
        <v>34</v>
      </c>
      <c r="J199" t="s">
        <v>108</v>
      </c>
      <c r="K199" t="s">
        <v>109</v>
      </c>
      <c r="L199" s="5">
        <v>45777</v>
      </c>
      <c r="M199" s="7">
        <v>0.34027777777777779</v>
      </c>
      <c r="N199" s="7">
        <v>0.58333333333333337</v>
      </c>
      <c r="O199" t="s">
        <v>110</v>
      </c>
      <c r="P199" t="s">
        <v>93</v>
      </c>
      <c r="Q199">
        <v>420</v>
      </c>
      <c r="R199">
        <v>15.6</v>
      </c>
      <c r="S199" t="s">
        <v>111</v>
      </c>
      <c r="T199">
        <v>0</v>
      </c>
      <c r="U199" t="s">
        <v>95</v>
      </c>
      <c r="V199" t="s">
        <v>112</v>
      </c>
      <c r="W199">
        <v>3500</v>
      </c>
    </row>
    <row r="200" spans="1:23" x14ac:dyDescent="0.35">
      <c r="A200" t="s">
        <v>417</v>
      </c>
      <c r="B200" t="s">
        <v>36</v>
      </c>
      <c r="C200">
        <v>38</v>
      </c>
      <c r="D200" t="s">
        <v>11</v>
      </c>
      <c r="E200" t="s">
        <v>37</v>
      </c>
      <c r="F200" t="s">
        <v>38</v>
      </c>
      <c r="G200" t="s">
        <v>21</v>
      </c>
      <c r="H200" t="s">
        <v>39</v>
      </c>
      <c r="I200" t="s">
        <v>40</v>
      </c>
      <c r="J200" t="s">
        <v>113</v>
      </c>
      <c r="K200" t="s">
        <v>114</v>
      </c>
      <c r="L200" s="5">
        <v>45778</v>
      </c>
      <c r="M200" s="7">
        <v>0.91666666666666663</v>
      </c>
      <c r="N200" s="7">
        <v>0.57291666666666663</v>
      </c>
      <c r="O200" t="s">
        <v>115</v>
      </c>
      <c r="P200" t="s">
        <v>100</v>
      </c>
      <c r="Q200">
        <v>1980</v>
      </c>
      <c r="R200">
        <v>27.5</v>
      </c>
      <c r="S200" t="s">
        <v>94</v>
      </c>
      <c r="T200">
        <v>0</v>
      </c>
      <c r="U200" t="s">
        <v>102</v>
      </c>
      <c r="V200" t="s">
        <v>103</v>
      </c>
      <c r="W200">
        <v>9700</v>
      </c>
    </row>
    <row r="201" spans="1:23" x14ac:dyDescent="0.35">
      <c r="A201" t="s">
        <v>418</v>
      </c>
      <c r="B201" t="s">
        <v>42</v>
      </c>
      <c r="C201">
        <v>31</v>
      </c>
      <c r="D201" t="s">
        <v>18</v>
      </c>
      <c r="E201" t="s">
        <v>43</v>
      </c>
      <c r="F201" t="s">
        <v>44</v>
      </c>
      <c r="G201" t="s">
        <v>21</v>
      </c>
      <c r="H201" t="s">
        <v>15</v>
      </c>
      <c r="I201" t="s">
        <v>45</v>
      </c>
      <c r="J201" t="s">
        <v>91</v>
      </c>
      <c r="K201" t="s">
        <v>116</v>
      </c>
      <c r="L201" s="5">
        <v>45778</v>
      </c>
      <c r="M201" s="7">
        <v>0.15625</v>
      </c>
      <c r="N201" s="7">
        <v>0.47222222222222221</v>
      </c>
      <c r="O201" t="s">
        <v>117</v>
      </c>
      <c r="P201" t="s">
        <v>118</v>
      </c>
      <c r="Q201">
        <v>980</v>
      </c>
      <c r="R201">
        <v>19.3</v>
      </c>
      <c r="S201" t="s">
        <v>101</v>
      </c>
      <c r="T201">
        <v>35</v>
      </c>
      <c r="U201" t="s">
        <v>95</v>
      </c>
      <c r="V201" t="s">
        <v>96</v>
      </c>
      <c r="W201">
        <v>5400</v>
      </c>
    </row>
    <row r="202" spans="1:23" x14ac:dyDescent="0.35">
      <c r="A202" t="s">
        <v>419</v>
      </c>
      <c r="B202" t="s">
        <v>25</v>
      </c>
      <c r="C202">
        <v>41</v>
      </c>
      <c r="D202" t="s">
        <v>11</v>
      </c>
      <c r="E202" t="s">
        <v>26</v>
      </c>
      <c r="F202" t="s">
        <v>27</v>
      </c>
      <c r="G202" t="s">
        <v>21</v>
      </c>
      <c r="H202" t="s">
        <v>15</v>
      </c>
      <c r="I202" t="s">
        <v>28</v>
      </c>
      <c r="J202" t="s">
        <v>91</v>
      </c>
      <c r="K202" t="s">
        <v>104</v>
      </c>
      <c r="L202" s="5">
        <v>45779</v>
      </c>
      <c r="M202" s="7">
        <v>5.5555555555555552E-2</v>
      </c>
      <c r="N202" s="7">
        <v>0.41319444444444442</v>
      </c>
      <c r="O202" t="s">
        <v>105</v>
      </c>
      <c r="P202" t="s">
        <v>106</v>
      </c>
      <c r="Q202">
        <v>2450</v>
      </c>
      <c r="R202">
        <v>30.2</v>
      </c>
      <c r="S202" t="s">
        <v>94</v>
      </c>
      <c r="T202">
        <v>0</v>
      </c>
      <c r="U202" t="s">
        <v>107</v>
      </c>
      <c r="V202" t="s">
        <v>103</v>
      </c>
      <c r="W202">
        <v>13200</v>
      </c>
    </row>
    <row r="203" spans="1:23" x14ac:dyDescent="0.35">
      <c r="A203" t="s">
        <v>420</v>
      </c>
      <c r="B203" t="s">
        <v>30</v>
      </c>
      <c r="C203">
        <v>25</v>
      </c>
      <c r="D203" t="s">
        <v>18</v>
      </c>
      <c r="E203" t="s">
        <v>31</v>
      </c>
      <c r="F203" t="s">
        <v>32</v>
      </c>
      <c r="G203" t="s">
        <v>21</v>
      </c>
      <c r="H203" t="s">
        <v>33</v>
      </c>
      <c r="I203" t="s">
        <v>34</v>
      </c>
      <c r="J203" t="s">
        <v>108</v>
      </c>
      <c r="K203" t="s">
        <v>109</v>
      </c>
      <c r="L203" s="5">
        <v>45779</v>
      </c>
      <c r="M203" s="7">
        <v>0.34027777777777779</v>
      </c>
      <c r="N203" s="7">
        <v>0.58333333333333337</v>
      </c>
      <c r="O203" t="s">
        <v>110</v>
      </c>
      <c r="P203" t="s">
        <v>93</v>
      </c>
      <c r="Q203">
        <v>420</v>
      </c>
      <c r="R203">
        <v>15.6</v>
      </c>
      <c r="S203" t="s">
        <v>111</v>
      </c>
      <c r="T203">
        <v>0</v>
      </c>
      <c r="U203" t="s">
        <v>95</v>
      </c>
      <c r="V203" t="s">
        <v>112</v>
      </c>
      <c r="W203">
        <v>3500</v>
      </c>
    </row>
    <row r="204" spans="1:23" x14ac:dyDescent="0.35">
      <c r="A204" t="s">
        <v>421</v>
      </c>
      <c r="B204" t="s">
        <v>36</v>
      </c>
      <c r="C204">
        <v>38</v>
      </c>
      <c r="D204" t="s">
        <v>11</v>
      </c>
      <c r="E204" t="s">
        <v>37</v>
      </c>
      <c r="F204" t="s">
        <v>38</v>
      </c>
      <c r="G204" t="s">
        <v>21</v>
      </c>
      <c r="H204" t="s">
        <v>39</v>
      </c>
      <c r="I204" t="s">
        <v>40</v>
      </c>
      <c r="J204" t="s">
        <v>113</v>
      </c>
      <c r="K204" t="s">
        <v>114</v>
      </c>
      <c r="L204" s="5">
        <v>45780</v>
      </c>
      <c r="M204" s="7">
        <v>0.91666666666666663</v>
      </c>
      <c r="N204" s="7">
        <v>0.57291666666666663</v>
      </c>
      <c r="O204" t="s">
        <v>115</v>
      </c>
      <c r="P204" t="s">
        <v>100</v>
      </c>
      <c r="Q204">
        <v>1980</v>
      </c>
      <c r="R204">
        <v>27.5</v>
      </c>
      <c r="S204" t="s">
        <v>94</v>
      </c>
      <c r="T204">
        <v>0</v>
      </c>
      <c r="U204" t="s">
        <v>102</v>
      </c>
      <c r="V204" t="s">
        <v>103</v>
      </c>
      <c r="W204">
        <v>9700</v>
      </c>
    </row>
    <row r="205" spans="1:23" x14ac:dyDescent="0.35">
      <c r="A205" t="s">
        <v>422</v>
      </c>
      <c r="B205" t="s">
        <v>42</v>
      </c>
      <c r="C205">
        <v>31</v>
      </c>
      <c r="D205" t="s">
        <v>18</v>
      </c>
      <c r="E205" t="s">
        <v>43</v>
      </c>
      <c r="F205" t="s">
        <v>44</v>
      </c>
      <c r="G205" t="s">
        <v>21</v>
      </c>
      <c r="H205" t="s">
        <v>15</v>
      </c>
      <c r="I205" t="s">
        <v>45</v>
      </c>
      <c r="J205" t="s">
        <v>91</v>
      </c>
      <c r="K205" t="s">
        <v>116</v>
      </c>
      <c r="L205" s="5">
        <v>45780</v>
      </c>
      <c r="M205" s="7">
        <v>0.15625</v>
      </c>
      <c r="N205" s="7">
        <v>0.47222222222222221</v>
      </c>
      <c r="O205" t="s">
        <v>117</v>
      </c>
      <c r="P205" t="s">
        <v>118</v>
      </c>
      <c r="Q205">
        <v>980</v>
      </c>
      <c r="R205">
        <v>19.3</v>
      </c>
      <c r="S205" t="s">
        <v>101</v>
      </c>
      <c r="T205">
        <v>35</v>
      </c>
      <c r="U205" t="s">
        <v>95</v>
      </c>
      <c r="V205" t="s">
        <v>96</v>
      </c>
      <c r="W205">
        <v>5400</v>
      </c>
    </row>
    <row r="206" spans="1:23" x14ac:dyDescent="0.35">
      <c r="A206" t="s">
        <v>423</v>
      </c>
      <c r="B206" t="s">
        <v>47</v>
      </c>
      <c r="C206">
        <v>45</v>
      </c>
      <c r="D206" t="s">
        <v>11</v>
      </c>
      <c r="E206" t="s">
        <v>48</v>
      </c>
      <c r="F206" t="s">
        <v>49</v>
      </c>
      <c r="G206" t="s">
        <v>21</v>
      </c>
      <c r="H206" t="s">
        <v>14</v>
      </c>
      <c r="I206" t="s">
        <v>28</v>
      </c>
      <c r="J206" t="s">
        <v>90</v>
      </c>
      <c r="K206" t="s">
        <v>104</v>
      </c>
      <c r="L206" s="5">
        <v>45781</v>
      </c>
      <c r="M206" s="7">
        <v>0.42708333333333331</v>
      </c>
      <c r="N206" s="7">
        <v>0.77083333333333337</v>
      </c>
      <c r="O206" t="s">
        <v>119</v>
      </c>
      <c r="P206" t="s">
        <v>100</v>
      </c>
      <c r="Q206">
        <v>1650</v>
      </c>
      <c r="R206">
        <v>26.8</v>
      </c>
      <c r="S206" t="s">
        <v>94</v>
      </c>
      <c r="T206">
        <v>0</v>
      </c>
      <c r="U206" t="s">
        <v>107</v>
      </c>
      <c r="V206" t="s">
        <v>103</v>
      </c>
      <c r="W206">
        <v>11000</v>
      </c>
    </row>
    <row r="207" spans="1:23" x14ac:dyDescent="0.35">
      <c r="A207" t="s">
        <v>424</v>
      </c>
      <c r="B207" t="s">
        <v>51</v>
      </c>
      <c r="C207">
        <v>27</v>
      </c>
      <c r="D207" t="s">
        <v>18</v>
      </c>
      <c r="E207" t="s">
        <v>52</v>
      </c>
      <c r="F207" t="s">
        <v>53</v>
      </c>
      <c r="G207" t="s">
        <v>21</v>
      </c>
      <c r="H207" t="s">
        <v>22</v>
      </c>
      <c r="I207" t="s">
        <v>40</v>
      </c>
      <c r="J207" t="s">
        <v>97</v>
      </c>
      <c r="K207" t="s">
        <v>114</v>
      </c>
      <c r="L207" s="5">
        <v>45781</v>
      </c>
      <c r="M207" s="7">
        <v>0.24305555555555555</v>
      </c>
      <c r="N207" s="7">
        <v>0.72222222222222221</v>
      </c>
      <c r="O207" t="s">
        <v>120</v>
      </c>
      <c r="P207" t="s">
        <v>93</v>
      </c>
      <c r="Q207">
        <v>740</v>
      </c>
      <c r="R207">
        <v>17.2</v>
      </c>
      <c r="S207" t="s">
        <v>111</v>
      </c>
      <c r="T207">
        <v>0</v>
      </c>
      <c r="U207" t="s">
        <v>95</v>
      </c>
      <c r="V207" t="s">
        <v>96</v>
      </c>
      <c r="W207">
        <v>4100</v>
      </c>
    </row>
    <row r="208" spans="1:23" x14ac:dyDescent="0.35">
      <c r="A208" t="s">
        <v>425</v>
      </c>
      <c r="B208" t="s">
        <v>55</v>
      </c>
      <c r="C208">
        <v>36</v>
      </c>
      <c r="D208" t="s">
        <v>11</v>
      </c>
      <c r="E208" t="s">
        <v>12</v>
      </c>
      <c r="F208" s="3" t="s">
        <v>56</v>
      </c>
      <c r="G208" t="s">
        <v>13</v>
      </c>
      <c r="H208" t="s">
        <v>57</v>
      </c>
      <c r="I208" t="s">
        <v>33</v>
      </c>
      <c r="J208" t="s">
        <v>121</v>
      </c>
      <c r="K208" t="s">
        <v>108</v>
      </c>
      <c r="L208" s="5">
        <v>45782</v>
      </c>
      <c r="M208" s="7">
        <v>0.60069444444444442</v>
      </c>
      <c r="N208" s="7">
        <v>0.71527777777777779</v>
      </c>
      <c r="O208" t="s">
        <v>122</v>
      </c>
      <c r="P208" t="s">
        <v>93</v>
      </c>
      <c r="Q208">
        <v>125</v>
      </c>
      <c r="R208">
        <v>12</v>
      </c>
      <c r="S208" t="s">
        <v>94</v>
      </c>
      <c r="T208">
        <v>0</v>
      </c>
      <c r="U208" t="s">
        <v>102</v>
      </c>
      <c r="V208" t="s">
        <v>103</v>
      </c>
      <c r="W208">
        <v>1800</v>
      </c>
    </row>
    <row r="209" spans="1:23" x14ac:dyDescent="0.35">
      <c r="A209" t="s">
        <v>426</v>
      </c>
      <c r="B209" t="s">
        <v>59</v>
      </c>
      <c r="C209">
        <v>30</v>
      </c>
      <c r="D209" t="s">
        <v>18</v>
      </c>
      <c r="E209" t="s">
        <v>19</v>
      </c>
      <c r="F209" t="s">
        <v>60</v>
      </c>
      <c r="G209" t="s">
        <v>13</v>
      </c>
      <c r="H209" t="s">
        <v>15</v>
      </c>
      <c r="I209" t="s">
        <v>14</v>
      </c>
      <c r="J209" t="s">
        <v>91</v>
      </c>
      <c r="K209" t="s">
        <v>90</v>
      </c>
      <c r="L209" s="5">
        <v>45782</v>
      </c>
      <c r="M209" s="7">
        <v>0.40277777777777779</v>
      </c>
      <c r="N209" s="7">
        <v>0.51736111111111116</v>
      </c>
      <c r="O209" t="s">
        <v>123</v>
      </c>
      <c r="P209" t="s">
        <v>118</v>
      </c>
      <c r="Q209">
        <v>310</v>
      </c>
      <c r="R209">
        <v>20.5</v>
      </c>
      <c r="S209" t="s">
        <v>101</v>
      </c>
      <c r="T209">
        <v>35</v>
      </c>
      <c r="U209" t="s">
        <v>95</v>
      </c>
      <c r="V209" t="s">
        <v>96</v>
      </c>
      <c r="W209">
        <v>6200</v>
      </c>
    </row>
    <row r="210" spans="1:23" x14ac:dyDescent="0.35">
      <c r="A210" t="s">
        <v>427</v>
      </c>
      <c r="B210" t="s">
        <v>62</v>
      </c>
      <c r="C210">
        <v>52</v>
      </c>
      <c r="D210" t="s">
        <v>11</v>
      </c>
      <c r="E210" t="s">
        <v>26</v>
      </c>
      <c r="F210" t="s">
        <v>63</v>
      </c>
      <c r="G210" t="s">
        <v>21</v>
      </c>
      <c r="H210" t="s">
        <v>22</v>
      </c>
      <c r="I210" t="s">
        <v>23</v>
      </c>
      <c r="J210" t="s">
        <v>97</v>
      </c>
      <c r="K210" t="s">
        <v>98</v>
      </c>
      <c r="L210" s="5">
        <v>45783</v>
      </c>
      <c r="M210" s="7">
        <v>0.96875</v>
      </c>
      <c r="N210" s="7">
        <v>0.12152777777777778</v>
      </c>
      <c r="O210" t="s">
        <v>124</v>
      </c>
      <c r="P210" t="s">
        <v>100</v>
      </c>
      <c r="Q210">
        <v>1200</v>
      </c>
      <c r="R210">
        <v>28</v>
      </c>
      <c r="S210" t="s">
        <v>94</v>
      </c>
      <c r="T210">
        <v>0</v>
      </c>
      <c r="U210" t="s">
        <v>107</v>
      </c>
      <c r="V210" t="s">
        <v>125</v>
      </c>
      <c r="W210">
        <v>14000</v>
      </c>
    </row>
    <row r="211" spans="1:23" x14ac:dyDescent="0.35">
      <c r="A211" t="s">
        <v>428</v>
      </c>
      <c r="B211" t="s">
        <v>65</v>
      </c>
      <c r="C211">
        <v>24</v>
      </c>
      <c r="D211" t="s">
        <v>18</v>
      </c>
      <c r="E211" t="s">
        <v>12</v>
      </c>
      <c r="F211" s="3" t="s">
        <v>66</v>
      </c>
      <c r="G211" t="s">
        <v>13</v>
      </c>
      <c r="H211" t="s">
        <v>39</v>
      </c>
      <c r="I211" t="s">
        <v>15</v>
      </c>
      <c r="J211" t="s">
        <v>113</v>
      </c>
      <c r="K211" t="s">
        <v>91</v>
      </c>
      <c r="L211" s="5">
        <v>45783</v>
      </c>
      <c r="M211" s="7">
        <v>0.25694444444444442</v>
      </c>
      <c r="N211" s="7">
        <v>0.3611111111111111</v>
      </c>
      <c r="O211" t="s">
        <v>126</v>
      </c>
      <c r="P211" t="s">
        <v>93</v>
      </c>
      <c r="Q211">
        <v>160</v>
      </c>
      <c r="R211">
        <v>10.4</v>
      </c>
      <c r="S211" t="s">
        <v>111</v>
      </c>
      <c r="T211">
        <v>0</v>
      </c>
      <c r="U211" t="s">
        <v>102</v>
      </c>
      <c r="V211" t="s">
        <v>112</v>
      </c>
      <c r="W211">
        <v>900</v>
      </c>
    </row>
    <row r="212" spans="1:23" x14ac:dyDescent="0.35">
      <c r="A212" t="s">
        <v>429</v>
      </c>
      <c r="B212" t="s">
        <v>68</v>
      </c>
      <c r="C212">
        <v>40</v>
      </c>
      <c r="D212" t="s">
        <v>11</v>
      </c>
      <c r="E212" t="s">
        <v>37</v>
      </c>
      <c r="F212" t="s">
        <v>69</v>
      </c>
      <c r="G212" t="s">
        <v>21</v>
      </c>
      <c r="H212" t="s">
        <v>33</v>
      </c>
      <c r="I212" t="s">
        <v>34</v>
      </c>
      <c r="J212" t="s">
        <v>108</v>
      </c>
      <c r="K212" t="s">
        <v>109</v>
      </c>
      <c r="L212" s="5">
        <v>45784</v>
      </c>
      <c r="M212" s="7">
        <v>0.84722222222222221</v>
      </c>
      <c r="N212" s="7">
        <v>9.0277777777777776E-2</v>
      </c>
      <c r="O212" t="s">
        <v>127</v>
      </c>
      <c r="P212" t="s">
        <v>100</v>
      </c>
      <c r="Q212">
        <v>1340</v>
      </c>
      <c r="R212">
        <v>22.6</v>
      </c>
      <c r="S212" t="s">
        <v>94</v>
      </c>
      <c r="T212">
        <v>0</v>
      </c>
      <c r="U212" t="s">
        <v>95</v>
      </c>
      <c r="V212" t="s">
        <v>103</v>
      </c>
      <c r="W212">
        <v>8700</v>
      </c>
    </row>
    <row r="213" spans="1:23" x14ac:dyDescent="0.35">
      <c r="A213" t="s">
        <v>430</v>
      </c>
      <c r="B213" t="s">
        <v>71</v>
      </c>
      <c r="C213">
        <v>33</v>
      </c>
      <c r="D213" t="s">
        <v>18</v>
      </c>
      <c r="E213" t="s">
        <v>43</v>
      </c>
      <c r="F213" t="s">
        <v>72</v>
      </c>
      <c r="G213" t="s">
        <v>21</v>
      </c>
      <c r="H213" t="s">
        <v>15</v>
      </c>
      <c r="I213" t="s">
        <v>40</v>
      </c>
      <c r="J213" t="s">
        <v>91</v>
      </c>
      <c r="K213" t="s">
        <v>114</v>
      </c>
      <c r="L213" s="5">
        <v>45784</v>
      </c>
      <c r="M213" s="7">
        <v>0.11805555555555555</v>
      </c>
      <c r="N213" s="7">
        <v>0.64583333333333337</v>
      </c>
      <c r="O213" t="s">
        <v>128</v>
      </c>
      <c r="P213" t="s">
        <v>106</v>
      </c>
      <c r="Q213">
        <v>2600</v>
      </c>
      <c r="R213">
        <v>31.4</v>
      </c>
      <c r="S213" t="s">
        <v>101</v>
      </c>
      <c r="T213">
        <v>90</v>
      </c>
      <c r="U213" t="s">
        <v>107</v>
      </c>
      <c r="V213" t="s">
        <v>96</v>
      </c>
      <c r="W213">
        <v>15000</v>
      </c>
    </row>
    <row r="214" spans="1:23" x14ac:dyDescent="0.35">
      <c r="A214" t="s">
        <v>431</v>
      </c>
      <c r="B214" t="s">
        <v>74</v>
      </c>
      <c r="C214">
        <v>47</v>
      </c>
      <c r="D214" t="s">
        <v>11</v>
      </c>
      <c r="E214" t="s">
        <v>19</v>
      </c>
      <c r="F214" t="s">
        <v>75</v>
      </c>
      <c r="G214" t="s">
        <v>21</v>
      </c>
      <c r="H214" t="s">
        <v>14</v>
      </c>
      <c r="I214" t="s">
        <v>23</v>
      </c>
      <c r="J214" t="s">
        <v>90</v>
      </c>
      <c r="K214" t="s">
        <v>98</v>
      </c>
      <c r="L214" s="5">
        <v>45785</v>
      </c>
      <c r="M214" s="7">
        <v>0.54513888888888884</v>
      </c>
      <c r="N214" s="7">
        <v>0.71875</v>
      </c>
      <c r="O214" t="s">
        <v>129</v>
      </c>
      <c r="P214" t="s">
        <v>93</v>
      </c>
      <c r="Q214">
        <v>390</v>
      </c>
      <c r="R214">
        <v>16.100000000000001</v>
      </c>
      <c r="S214" t="s">
        <v>94</v>
      </c>
      <c r="T214">
        <v>0</v>
      </c>
      <c r="U214" t="s">
        <v>95</v>
      </c>
      <c r="V214" t="s">
        <v>103</v>
      </c>
      <c r="W214">
        <v>3000</v>
      </c>
    </row>
    <row r="215" spans="1:23" x14ac:dyDescent="0.35">
      <c r="A215" t="s">
        <v>432</v>
      </c>
      <c r="B215" t="s">
        <v>131</v>
      </c>
      <c r="C215">
        <v>28</v>
      </c>
      <c r="D215" t="s">
        <v>18</v>
      </c>
      <c r="E215" t="s">
        <v>52</v>
      </c>
      <c r="F215" t="s">
        <v>132</v>
      </c>
      <c r="G215" t="s">
        <v>21</v>
      </c>
      <c r="H215" t="s">
        <v>33</v>
      </c>
      <c r="I215" t="s">
        <v>28</v>
      </c>
      <c r="J215" t="s">
        <v>108</v>
      </c>
      <c r="K215" t="s">
        <v>104</v>
      </c>
      <c r="L215" s="5">
        <v>45785</v>
      </c>
      <c r="M215" s="7">
        <v>0.32291666666666669</v>
      </c>
      <c r="N215" s="7">
        <v>0.75694444444444442</v>
      </c>
      <c r="O215" t="s">
        <v>133</v>
      </c>
      <c r="P215" t="s">
        <v>118</v>
      </c>
      <c r="Q215">
        <v>980</v>
      </c>
      <c r="R215">
        <v>21</v>
      </c>
      <c r="S215" t="s">
        <v>111</v>
      </c>
      <c r="T215">
        <v>0</v>
      </c>
      <c r="U215" t="s">
        <v>102</v>
      </c>
      <c r="V215" t="s">
        <v>96</v>
      </c>
      <c r="W215">
        <v>7200</v>
      </c>
    </row>
    <row r="216" spans="1:23" x14ac:dyDescent="0.35">
      <c r="A216" t="s">
        <v>433</v>
      </c>
      <c r="B216" t="s">
        <v>135</v>
      </c>
      <c r="C216">
        <v>39</v>
      </c>
      <c r="D216" t="s">
        <v>11</v>
      </c>
      <c r="E216" t="s">
        <v>12</v>
      </c>
      <c r="F216" s="3" t="s">
        <v>136</v>
      </c>
      <c r="G216" t="s">
        <v>13</v>
      </c>
      <c r="H216" t="s">
        <v>15</v>
      </c>
      <c r="I216" t="s">
        <v>22</v>
      </c>
      <c r="J216" t="s">
        <v>91</v>
      </c>
      <c r="K216" t="s">
        <v>97</v>
      </c>
      <c r="L216" s="5">
        <v>45786</v>
      </c>
      <c r="M216" s="7">
        <v>0.47916666666666669</v>
      </c>
      <c r="N216" s="7">
        <v>0.56944444444444442</v>
      </c>
      <c r="O216" t="s">
        <v>137</v>
      </c>
      <c r="P216" t="s">
        <v>93</v>
      </c>
      <c r="Q216">
        <v>110</v>
      </c>
      <c r="R216">
        <v>8.6</v>
      </c>
      <c r="S216" t="s">
        <v>94</v>
      </c>
      <c r="T216">
        <v>0</v>
      </c>
      <c r="U216" t="s">
        <v>95</v>
      </c>
      <c r="V216" t="s">
        <v>103</v>
      </c>
      <c r="W216">
        <v>1500</v>
      </c>
    </row>
    <row r="217" spans="1:23" x14ac:dyDescent="0.35">
      <c r="A217" t="s">
        <v>434</v>
      </c>
      <c r="B217" t="s">
        <v>139</v>
      </c>
      <c r="C217">
        <v>26</v>
      </c>
      <c r="D217" t="s">
        <v>18</v>
      </c>
      <c r="E217" t="s">
        <v>19</v>
      </c>
      <c r="F217" t="s">
        <v>140</v>
      </c>
      <c r="G217" t="s">
        <v>13</v>
      </c>
      <c r="H217" t="s">
        <v>57</v>
      </c>
      <c r="I217" t="s">
        <v>39</v>
      </c>
      <c r="J217" t="s">
        <v>121</v>
      </c>
      <c r="K217" t="s">
        <v>113</v>
      </c>
      <c r="L217" s="5">
        <v>45786</v>
      </c>
      <c r="M217" s="7">
        <v>0.66666666666666663</v>
      </c>
      <c r="N217" s="7">
        <v>0.76736111111111116</v>
      </c>
      <c r="O217" t="s">
        <v>141</v>
      </c>
      <c r="P217" t="s">
        <v>93</v>
      </c>
      <c r="Q217">
        <v>140</v>
      </c>
      <c r="R217">
        <v>11.2</v>
      </c>
      <c r="S217" t="s">
        <v>101</v>
      </c>
      <c r="T217">
        <v>20</v>
      </c>
      <c r="U217" t="s">
        <v>95</v>
      </c>
      <c r="V217" t="s">
        <v>96</v>
      </c>
      <c r="W217">
        <v>2700</v>
      </c>
    </row>
    <row r="218" spans="1:23" x14ac:dyDescent="0.35">
      <c r="A218" t="s">
        <v>435</v>
      </c>
      <c r="B218" t="s">
        <v>143</v>
      </c>
      <c r="C218">
        <v>50</v>
      </c>
      <c r="D218" t="s">
        <v>11</v>
      </c>
      <c r="E218" t="s">
        <v>26</v>
      </c>
      <c r="F218" t="s">
        <v>144</v>
      </c>
      <c r="G218" t="s">
        <v>21</v>
      </c>
      <c r="H218" t="s">
        <v>14</v>
      </c>
      <c r="I218" t="s">
        <v>34</v>
      </c>
      <c r="J218" t="s">
        <v>90</v>
      </c>
      <c r="K218" t="s">
        <v>109</v>
      </c>
      <c r="L218" s="5">
        <v>45787</v>
      </c>
      <c r="M218" s="7">
        <v>0.88194444444444442</v>
      </c>
      <c r="N218" s="7">
        <v>0.2013888888888889</v>
      </c>
      <c r="O218" t="s">
        <v>145</v>
      </c>
      <c r="P218" t="s">
        <v>100</v>
      </c>
      <c r="Q218">
        <v>1450</v>
      </c>
      <c r="R218">
        <v>25.9</v>
      </c>
      <c r="S218" t="s">
        <v>94</v>
      </c>
      <c r="T218">
        <v>0</v>
      </c>
      <c r="U218" t="s">
        <v>107</v>
      </c>
      <c r="V218" t="s">
        <v>125</v>
      </c>
      <c r="W218">
        <v>11800</v>
      </c>
    </row>
    <row r="219" spans="1:23" x14ac:dyDescent="0.35">
      <c r="A219" t="s">
        <v>436</v>
      </c>
      <c r="B219" t="s">
        <v>222</v>
      </c>
      <c r="C219">
        <v>31</v>
      </c>
      <c r="D219" t="s">
        <v>18</v>
      </c>
      <c r="E219" t="s">
        <v>31</v>
      </c>
      <c r="F219" t="s">
        <v>148</v>
      </c>
      <c r="G219" t="s">
        <v>21</v>
      </c>
      <c r="H219" t="s">
        <v>15</v>
      </c>
      <c r="I219" t="s">
        <v>23</v>
      </c>
      <c r="J219" t="s">
        <v>91</v>
      </c>
      <c r="K219" t="s">
        <v>98</v>
      </c>
      <c r="L219" s="5">
        <v>45787</v>
      </c>
      <c r="M219" s="7">
        <v>0.18402777777777779</v>
      </c>
      <c r="N219" s="7">
        <v>0.33333333333333331</v>
      </c>
      <c r="O219" t="s">
        <v>149</v>
      </c>
      <c r="P219" t="s">
        <v>93</v>
      </c>
      <c r="Q219">
        <v>330</v>
      </c>
      <c r="R219">
        <v>13.5</v>
      </c>
      <c r="S219" t="s">
        <v>111</v>
      </c>
      <c r="T219">
        <v>0</v>
      </c>
      <c r="U219" t="s">
        <v>102</v>
      </c>
      <c r="V219" t="s">
        <v>112</v>
      </c>
      <c r="W219">
        <v>2100</v>
      </c>
    </row>
    <row r="220" spans="1:23" x14ac:dyDescent="0.35">
      <c r="A220" t="s">
        <v>437</v>
      </c>
      <c r="B220" t="s">
        <v>224</v>
      </c>
      <c r="C220">
        <v>44</v>
      </c>
      <c r="D220" t="s">
        <v>11</v>
      </c>
      <c r="E220" t="s">
        <v>12</v>
      </c>
      <c r="F220" s="11" t="s">
        <v>225</v>
      </c>
      <c r="G220" t="s">
        <v>13</v>
      </c>
      <c r="H220" t="s">
        <v>22</v>
      </c>
      <c r="I220" t="s">
        <v>57</v>
      </c>
      <c r="J220" t="s">
        <v>97</v>
      </c>
      <c r="K220" t="s">
        <v>121</v>
      </c>
      <c r="L220" s="5">
        <v>45788</v>
      </c>
      <c r="M220" s="7">
        <v>0.38194444444444442</v>
      </c>
      <c r="N220" s="7">
        <v>0.4861111111111111</v>
      </c>
      <c r="O220" t="s">
        <v>226</v>
      </c>
      <c r="P220" t="s">
        <v>93</v>
      </c>
      <c r="Q220">
        <v>125</v>
      </c>
      <c r="R220">
        <v>12</v>
      </c>
      <c r="S220" t="s">
        <v>94</v>
      </c>
      <c r="T220">
        <v>0</v>
      </c>
      <c r="U220" t="s">
        <v>95</v>
      </c>
      <c r="V220" t="s">
        <v>103</v>
      </c>
      <c r="W220">
        <v>2100</v>
      </c>
    </row>
    <row r="221" spans="1:23" x14ac:dyDescent="0.35">
      <c r="A221" t="s">
        <v>438</v>
      </c>
      <c r="B221" t="s">
        <v>30</v>
      </c>
      <c r="C221">
        <v>25</v>
      </c>
      <c r="D221" t="s">
        <v>18</v>
      </c>
      <c r="E221" t="s">
        <v>19</v>
      </c>
      <c r="F221" t="s">
        <v>20</v>
      </c>
      <c r="G221" t="s">
        <v>21</v>
      </c>
      <c r="H221" t="s">
        <v>15</v>
      </c>
      <c r="I221" t="s">
        <v>28</v>
      </c>
      <c r="J221" t="s">
        <v>91</v>
      </c>
      <c r="K221" t="s">
        <v>104</v>
      </c>
      <c r="L221" s="5">
        <v>45788</v>
      </c>
      <c r="M221" s="7">
        <v>5.2083333333333336E-2</v>
      </c>
      <c r="N221" s="7">
        <v>0.40972222222222221</v>
      </c>
      <c r="O221" t="s">
        <v>99</v>
      </c>
      <c r="P221" t="s">
        <v>100</v>
      </c>
      <c r="Q221">
        <v>860</v>
      </c>
      <c r="R221">
        <v>24</v>
      </c>
      <c r="S221" t="s">
        <v>101</v>
      </c>
      <c r="T221">
        <v>50</v>
      </c>
      <c r="U221" t="s">
        <v>102</v>
      </c>
      <c r="V221" t="s">
        <v>96</v>
      </c>
      <c r="W221">
        <v>8400</v>
      </c>
    </row>
    <row r="222" spans="1:23" x14ac:dyDescent="0.35">
      <c r="A222" t="s">
        <v>439</v>
      </c>
      <c r="B222" t="s">
        <v>197</v>
      </c>
      <c r="C222">
        <v>38</v>
      </c>
      <c r="D222" t="s">
        <v>11</v>
      </c>
      <c r="E222" t="s">
        <v>37</v>
      </c>
      <c r="F222" t="s">
        <v>38</v>
      </c>
      <c r="G222" t="s">
        <v>21</v>
      </c>
      <c r="H222" t="s">
        <v>39</v>
      </c>
      <c r="I222" t="s">
        <v>40</v>
      </c>
      <c r="J222" t="s">
        <v>113</v>
      </c>
      <c r="K222" t="s">
        <v>114</v>
      </c>
      <c r="L222" s="5">
        <v>45789</v>
      </c>
      <c r="M222" s="7">
        <v>0.91666666666666663</v>
      </c>
      <c r="N222" s="7">
        <v>0.57291666666666663</v>
      </c>
      <c r="O222" t="s">
        <v>115</v>
      </c>
      <c r="P222" t="s">
        <v>100</v>
      </c>
      <c r="Q222">
        <v>1980</v>
      </c>
      <c r="R222">
        <v>27.5</v>
      </c>
      <c r="S222" t="s">
        <v>94</v>
      </c>
      <c r="T222">
        <v>0</v>
      </c>
      <c r="U222" t="s">
        <v>102</v>
      </c>
      <c r="V222" t="s">
        <v>103</v>
      </c>
      <c r="W222">
        <v>9700</v>
      </c>
    </row>
    <row r="223" spans="1:23" x14ac:dyDescent="0.35">
      <c r="A223" t="s">
        <v>440</v>
      </c>
      <c r="B223" t="s">
        <v>42</v>
      </c>
      <c r="C223">
        <v>31</v>
      </c>
      <c r="D223" t="s">
        <v>18</v>
      </c>
      <c r="E223" t="s">
        <v>43</v>
      </c>
      <c r="F223" t="s">
        <v>44</v>
      </c>
      <c r="G223" t="s">
        <v>21</v>
      </c>
      <c r="H223" t="s">
        <v>15</v>
      </c>
      <c r="I223" t="s">
        <v>45</v>
      </c>
      <c r="J223" t="s">
        <v>91</v>
      </c>
      <c r="K223" t="s">
        <v>116</v>
      </c>
      <c r="L223" s="5">
        <v>45789</v>
      </c>
      <c r="M223" s="7">
        <v>0.15625</v>
      </c>
      <c r="N223" s="7">
        <v>0.47222222222222221</v>
      </c>
      <c r="O223" t="s">
        <v>117</v>
      </c>
      <c r="P223" t="s">
        <v>118</v>
      </c>
      <c r="Q223">
        <v>980</v>
      </c>
      <c r="R223">
        <v>19.3</v>
      </c>
      <c r="S223" t="s">
        <v>94</v>
      </c>
      <c r="T223">
        <v>0</v>
      </c>
      <c r="U223" t="s">
        <v>95</v>
      </c>
      <c r="V223" t="s">
        <v>96</v>
      </c>
      <c r="W223">
        <v>5400</v>
      </c>
    </row>
    <row r="224" spans="1:23" x14ac:dyDescent="0.35">
      <c r="A224" t="s">
        <v>441</v>
      </c>
      <c r="B224" t="s">
        <v>231</v>
      </c>
      <c r="C224">
        <v>35</v>
      </c>
      <c r="D224" t="s">
        <v>11</v>
      </c>
      <c r="E224" t="s">
        <v>26</v>
      </c>
      <c r="F224" t="s">
        <v>232</v>
      </c>
      <c r="G224" t="s">
        <v>21</v>
      </c>
      <c r="H224" t="s">
        <v>22</v>
      </c>
      <c r="I224" t="s">
        <v>28</v>
      </c>
      <c r="J224" t="s">
        <v>97</v>
      </c>
      <c r="K224" t="s">
        <v>104</v>
      </c>
      <c r="L224" s="5">
        <v>45790</v>
      </c>
      <c r="M224" s="7">
        <v>9.0277777777777776E-2</v>
      </c>
      <c r="N224" s="7">
        <v>0.36805555555555558</v>
      </c>
      <c r="O224" t="s">
        <v>119</v>
      </c>
      <c r="P224" t="s">
        <v>100</v>
      </c>
      <c r="Q224">
        <v>1800</v>
      </c>
      <c r="R224">
        <v>26.5</v>
      </c>
      <c r="S224" t="s">
        <v>94</v>
      </c>
      <c r="T224">
        <v>0</v>
      </c>
      <c r="U224" t="s">
        <v>107</v>
      </c>
      <c r="V224" t="s">
        <v>103</v>
      </c>
      <c r="W224">
        <v>12000</v>
      </c>
    </row>
    <row r="225" spans="1:23" x14ac:dyDescent="0.35">
      <c r="A225" t="s">
        <v>442</v>
      </c>
      <c r="B225" t="s">
        <v>234</v>
      </c>
      <c r="C225">
        <v>28</v>
      </c>
      <c r="D225" t="s">
        <v>18</v>
      </c>
      <c r="E225" t="s">
        <v>12</v>
      </c>
      <c r="F225" s="3" t="s">
        <v>235</v>
      </c>
      <c r="G225" t="s">
        <v>13</v>
      </c>
      <c r="H225" t="s">
        <v>14</v>
      </c>
      <c r="I225" t="s">
        <v>15</v>
      </c>
      <c r="J225" t="s">
        <v>90</v>
      </c>
      <c r="K225" t="s">
        <v>91</v>
      </c>
      <c r="L225" s="5">
        <v>45790</v>
      </c>
      <c r="M225" s="7">
        <v>0.28125</v>
      </c>
      <c r="N225" s="7">
        <v>0.3888888888888889</v>
      </c>
      <c r="O225" t="s">
        <v>236</v>
      </c>
      <c r="P225" t="s">
        <v>93</v>
      </c>
      <c r="Q225">
        <v>150</v>
      </c>
      <c r="R225">
        <v>11.2</v>
      </c>
      <c r="S225" t="s">
        <v>101</v>
      </c>
      <c r="T225">
        <v>30</v>
      </c>
      <c r="U225" t="s">
        <v>102</v>
      </c>
      <c r="V225" t="s">
        <v>96</v>
      </c>
      <c r="W225">
        <v>3200</v>
      </c>
    </row>
    <row r="226" spans="1:23" x14ac:dyDescent="0.35">
      <c r="A226" t="s">
        <v>443</v>
      </c>
      <c r="B226" t="s">
        <v>25</v>
      </c>
      <c r="C226">
        <v>41</v>
      </c>
      <c r="D226" t="s">
        <v>11</v>
      </c>
      <c r="E226" t="s">
        <v>26</v>
      </c>
      <c r="F226" t="s">
        <v>27</v>
      </c>
      <c r="G226" t="s">
        <v>21</v>
      </c>
      <c r="H226" t="s">
        <v>15</v>
      </c>
      <c r="I226" t="s">
        <v>28</v>
      </c>
      <c r="J226" t="s">
        <v>91</v>
      </c>
      <c r="K226" t="s">
        <v>104</v>
      </c>
      <c r="L226" s="5">
        <v>45791</v>
      </c>
      <c r="M226" s="7">
        <v>5.5555555555555552E-2</v>
      </c>
      <c r="N226" s="7">
        <v>0.41319444444444442</v>
      </c>
      <c r="O226" t="s">
        <v>105</v>
      </c>
      <c r="P226" t="s">
        <v>106</v>
      </c>
      <c r="Q226">
        <v>2450</v>
      </c>
      <c r="R226">
        <v>30.2</v>
      </c>
      <c r="S226" t="s">
        <v>94</v>
      </c>
      <c r="T226">
        <v>0</v>
      </c>
      <c r="U226" t="s">
        <v>107</v>
      </c>
      <c r="V226" t="s">
        <v>103</v>
      </c>
      <c r="W226">
        <v>13200</v>
      </c>
    </row>
    <row r="227" spans="1:23" x14ac:dyDescent="0.35">
      <c r="A227" t="s">
        <v>444</v>
      </c>
      <c r="B227" t="s">
        <v>30</v>
      </c>
      <c r="C227">
        <v>25</v>
      </c>
      <c r="D227" t="s">
        <v>18</v>
      </c>
      <c r="E227" t="s">
        <v>31</v>
      </c>
      <c r="F227" t="s">
        <v>32</v>
      </c>
      <c r="G227" t="s">
        <v>21</v>
      </c>
      <c r="H227" t="s">
        <v>33</v>
      </c>
      <c r="I227" t="s">
        <v>34</v>
      </c>
      <c r="J227" t="s">
        <v>108</v>
      </c>
      <c r="K227" t="s">
        <v>109</v>
      </c>
      <c r="L227" s="5">
        <v>45791</v>
      </c>
      <c r="M227" s="7">
        <v>0.34027777777777779</v>
      </c>
      <c r="N227" s="7">
        <v>0.58333333333333337</v>
      </c>
      <c r="O227" t="s">
        <v>110</v>
      </c>
      <c r="P227" t="s">
        <v>93</v>
      </c>
      <c r="Q227">
        <v>420</v>
      </c>
      <c r="R227">
        <v>15.6</v>
      </c>
      <c r="S227" t="s">
        <v>111</v>
      </c>
      <c r="T227">
        <v>0</v>
      </c>
      <c r="U227" t="s">
        <v>95</v>
      </c>
      <c r="V227" t="s">
        <v>112</v>
      </c>
      <c r="W227">
        <v>3500</v>
      </c>
    </row>
    <row r="228" spans="1:23" x14ac:dyDescent="0.35">
      <c r="A228" t="s">
        <v>445</v>
      </c>
      <c r="B228" t="s">
        <v>36</v>
      </c>
      <c r="C228">
        <v>38</v>
      </c>
      <c r="D228" t="s">
        <v>11</v>
      </c>
      <c r="E228" t="s">
        <v>37</v>
      </c>
      <c r="F228" t="s">
        <v>38</v>
      </c>
      <c r="G228" t="s">
        <v>21</v>
      </c>
      <c r="H228" t="s">
        <v>39</v>
      </c>
      <c r="I228" t="s">
        <v>40</v>
      </c>
      <c r="J228" t="s">
        <v>113</v>
      </c>
      <c r="K228" t="s">
        <v>114</v>
      </c>
      <c r="L228" s="5">
        <v>45792</v>
      </c>
      <c r="M228" s="7">
        <v>0.91666666666666663</v>
      </c>
      <c r="N228" s="7">
        <v>0.57291666666666663</v>
      </c>
      <c r="O228" t="s">
        <v>115</v>
      </c>
      <c r="P228" t="s">
        <v>100</v>
      </c>
      <c r="Q228">
        <v>1980</v>
      </c>
      <c r="R228">
        <v>27.5</v>
      </c>
      <c r="S228" t="s">
        <v>94</v>
      </c>
      <c r="T228">
        <v>0</v>
      </c>
      <c r="U228" t="s">
        <v>102</v>
      </c>
      <c r="V228" t="s">
        <v>103</v>
      </c>
      <c r="W228">
        <v>9700</v>
      </c>
    </row>
    <row r="229" spans="1:23" x14ac:dyDescent="0.35">
      <c r="A229" t="s">
        <v>446</v>
      </c>
      <c r="B229" t="s">
        <v>42</v>
      </c>
      <c r="C229">
        <v>31</v>
      </c>
      <c r="D229" t="s">
        <v>18</v>
      </c>
      <c r="E229" t="s">
        <v>43</v>
      </c>
      <c r="F229" t="s">
        <v>44</v>
      </c>
      <c r="G229" t="s">
        <v>21</v>
      </c>
      <c r="H229" t="s">
        <v>15</v>
      </c>
      <c r="I229" t="s">
        <v>45</v>
      </c>
      <c r="J229" t="s">
        <v>91</v>
      </c>
      <c r="K229" t="s">
        <v>116</v>
      </c>
      <c r="L229" s="5">
        <v>45792</v>
      </c>
      <c r="M229" s="7">
        <v>0.15625</v>
      </c>
      <c r="N229" s="7">
        <v>0.47222222222222221</v>
      </c>
      <c r="O229" t="s">
        <v>117</v>
      </c>
      <c r="P229" t="s">
        <v>118</v>
      </c>
      <c r="Q229">
        <v>980</v>
      </c>
      <c r="R229">
        <v>19.3</v>
      </c>
      <c r="S229" t="s">
        <v>101</v>
      </c>
      <c r="T229">
        <v>35</v>
      </c>
      <c r="U229" t="s">
        <v>95</v>
      </c>
      <c r="V229" t="s">
        <v>96</v>
      </c>
      <c r="W229">
        <v>5400</v>
      </c>
    </row>
    <row r="230" spans="1:23" x14ac:dyDescent="0.35">
      <c r="A230" t="s">
        <v>447</v>
      </c>
      <c r="B230" t="s">
        <v>47</v>
      </c>
      <c r="C230">
        <v>45</v>
      </c>
      <c r="D230" t="s">
        <v>11</v>
      </c>
      <c r="E230" t="s">
        <v>48</v>
      </c>
      <c r="F230" t="s">
        <v>49</v>
      </c>
      <c r="G230" t="s">
        <v>21</v>
      </c>
      <c r="H230" t="s">
        <v>14</v>
      </c>
      <c r="I230" t="s">
        <v>28</v>
      </c>
      <c r="J230" t="s">
        <v>90</v>
      </c>
      <c r="K230" t="s">
        <v>104</v>
      </c>
      <c r="L230" s="5">
        <v>45793</v>
      </c>
      <c r="M230" s="7">
        <v>0.42708333333333331</v>
      </c>
      <c r="N230" s="7">
        <v>0.77083333333333337</v>
      </c>
      <c r="O230" t="s">
        <v>119</v>
      </c>
      <c r="P230" t="s">
        <v>100</v>
      </c>
      <c r="Q230">
        <v>1650</v>
      </c>
      <c r="R230">
        <v>26.8</v>
      </c>
      <c r="S230" t="s">
        <v>94</v>
      </c>
      <c r="T230">
        <v>0</v>
      </c>
      <c r="U230" t="s">
        <v>107</v>
      </c>
      <c r="V230" t="s">
        <v>103</v>
      </c>
      <c r="W230">
        <v>11000</v>
      </c>
    </row>
    <row r="231" spans="1:23" x14ac:dyDescent="0.35">
      <c r="A231" t="s">
        <v>448</v>
      </c>
      <c r="B231" t="s">
        <v>51</v>
      </c>
      <c r="C231">
        <v>27</v>
      </c>
      <c r="D231" t="s">
        <v>18</v>
      </c>
      <c r="E231" t="s">
        <v>52</v>
      </c>
      <c r="F231" t="s">
        <v>53</v>
      </c>
      <c r="G231" t="s">
        <v>21</v>
      </c>
      <c r="H231" t="s">
        <v>22</v>
      </c>
      <c r="I231" t="s">
        <v>40</v>
      </c>
      <c r="J231" t="s">
        <v>97</v>
      </c>
      <c r="K231" t="s">
        <v>114</v>
      </c>
      <c r="L231" s="5">
        <v>45793</v>
      </c>
      <c r="M231" s="7">
        <v>0.24305555555555555</v>
      </c>
      <c r="N231" s="7">
        <v>0.72222222222222221</v>
      </c>
      <c r="O231" t="s">
        <v>120</v>
      </c>
      <c r="P231" t="s">
        <v>93</v>
      </c>
      <c r="Q231">
        <v>740</v>
      </c>
      <c r="R231">
        <v>17.2</v>
      </c>
      <c r="S231" t="s">
        <v>111</v>
      </c>
      <c r="T231">
        <v>0</v>
      </c>
      <c r="U231" t="s">
        <v>95</v>
      </c>
      <c r="V231" t="s">
        <v>96</v>
      </c>
      <c r="W231">
        <v>4100</v>
      </c>
    </row>
    <row r="232" spans="1:23" x14ac:dyDescent="0.35">
      <c r="A232" t="s">
        <v>449</v>
      </c>
      <c r="B232" t="s">
        <v>55</v>
      </c>
      <c r="C232">
        <v>36</v>
      </c>
      <c r="D232" t="s">
        <v>11</v>
      </c>
      <c r="E232" t="s">
        <v>12</v>
      </c>
      <c r="F232" s="3" t="s">
        <v>56</v>
      </c>
      <c r="G232" t="s">
        <v>13</v>
      </c>
      <c r="H232" t="s">
        <v>57</v>
      </c>
      <c r="I232" t="s">
        <v>33</v>
      </c>
      <c r="J232" t="s">
        <v>121</v>
      </c>
      <c r="K232" t="s">
        <v>108</v>
      </c>
      <c r="L232" s="5">
        <v>45794</v>
      </c>
      <c r="M232" s="7">
        <v>0.60069444444444442</v>
      </c>
      <c r="N232" s="7">
        <v>0.71527777777777779</v>
      </c>
      <c r="O232" t="s">
        <v>122</v>
      </c>
      <c r="P232" t="s">
        <v>93</v>
      </c>
      <c r="Q232">
        <v>125</v>
      </c>
      <c r="R232">
        <v>12</v>
      </c>
      <c r="S232" t="s">
        <v>94</v>
      </c>
      <c r="T232">
        <v>0</v>
      </c>
      <c r="U232" t="s">
        <v>102</v>
      </c>
      <c r="V232" t="s">
        <v>103</v>
      </c>
      <c r="W232">
        <v>1800</v>
      </c>
    </row>
    <row r="233" spans="1:23" x14ac:dyDescent="0.35">
      <c r="A233" t="s">
        <v>450</v>
      </c>
      <c r="B233" t="s">
        <v>59</v>
      </c>
      <c r="C233">
        <v>30</v>
      </c>
      <c r="D233" t="s">
        <v>18</v>
      </c>
      <c r="E233" t="s">
        <v>19</v>
      </c>
      <c r="F233" t="s">
        <v>60</v>
      </c>
      <c r="G233" t="s">
        <v>13</v>
      </c>
      <c r="H233" t="s">
        <v>15</v>
      </c>
      <c r="I233" t="s">
        <v>14</v>
      </c>
      <c r="J233" t="s">
        <v>91</v>
      </c>
      <c r="K233" t="s">
        <v>90</v>
      </c>
      <c r="L233" s="5">
        <v>45794</v>
      </c>
      <c r="M233" s="7">
        <v>0.40277777777777779</v>
      </c>
      <c r="N233" s="7">
        <v>0.51736111111111116</v>
      </c>
      <c r="O233" t="s">
        <v>123</v>
      </c>
      <c r="P233" t="s">
        <v>118</v>
      </c>
      <c r="Q233">
        <v>310</v>
      </c>
      <c r="R233">
        <v>20.5</v>
      </c>
      <c r="S233" t="s">
        <v>101</v>
      </c>
      <c r="T233">
        <v>35</v>
      </c>
      <c r="U233" t="s">
        <v>95</v>
      </c>
      <c r="V233" t="s">
        <v>96</v>
      </c>
      <c r="W233">
        <v>6200</v>
      </c>
    </row>
    <row r="234" spans="1:23" x14ac:dyDescent="0.35">
      <c r="A234" t="s">
        <v>451</v>
      </c>
      <c r="B234" t="s">
        <v>62</v>
      </c>
      <c r="C234">
        <v>52</v>
      </c>
      <c r="D234" t="s">
        <v>11</v>
      </c>
      <c r="E234" t="s">
        <v>26</v>
      </c>
      <c r="F234" t="s">
        <v>63</v>
      </c>
      <c r="G234" t="s">
        <v>21</v>
      </c>
      <c r="H234" t="s">
        <v>22</v>
      </c>
      <c r="I234" t="s">
        <v>23</v>
      </c>
      <c r="J234" t="s">
        <v>97</v>
      </c>
      <c r="K234" t="s">
        <v>98</v>
      </c>
      <c r="L234" s="5">
        <v>45795</v>
      </c>
      <c r="M234" s="7">
        <v>0.96875</v>
      </c>
      <c r="N234" s="7">
        <v>0.12152777777777778</v>
      </c>
      <c r="O234" t="s">
        <v>124</v>
      </c>
      <c r="P234" t="s">
        <v>100</v>
      </c>
      <c r="Q234">
        <v>1200</v>
      </c>
      <c r="R234">
        <v>28</v>
      </c>
      <c r="S234" t="s">
        <v>94</v>
      </c>
      <c r="T234">
        <v>0</v>
      </c>
      <c r="U234" t="s">
        <v>107</v>
      </c>
      <c r="V234" t="s">
        <v>125</v>
      </c>
      <c r="W234">
        <v>14000</v>
      </c>
    </row>
    <row r="235" spans="1:23" x14ac:dyDescent="0.35">
      <c r="A235" t="s">
        <v>452</v>
      </c>
      <c r="B235" t="s">
        <v>65</v>
      </c>
      <c r="C235">
        <v>24</v>
      </c>
      <c r="D235" t="s">
        <v>18</v>
      </c>
      <c r="E235" t="s">
        <v>12</v>
      </c>
      <c r="F235" s="3" t="s">
        <v>66</v>
      </c>
      <c r="G235" t="s">
        <v>13</v>
      </c>
      <c r="H235" t="s">
        <v>39</v>
      </c>
      <c r="I235" t="s">
        <v>15</v>
      </c>
      <c r="J235" t="s">
        <v>113</v>
      </c>
      <c r="K235" t="s">
        <v>91</v>
      </c>
      <c r="L235" s="5">
        <v>45795</v>
      </c>
      <c r="M235" s="7">
        <v>0.25694444444444442</v>
      </c>
      <c r="N235" s="7">
        <v>0.3611111111111111</v>
      </c>
      <c r="O235" t="s">
        <v>126</v>
      </c>
      <c r="P235" t="s">
        <v>93</v>
      </c>
      <c r="Q235">
        <v>160</v>
      </c>
      <c r="R235">
        <v>10.4</v>
      </c>
      <c r="S235" t="s">
        <v>111</v>
      </c>
      <c r="T235">
        <v>0</v>
      </c>
      <c r="U235" t="s">
        <v>102</v>
      </c>
      <c r="V235" t="s">
        <v>112</v>
      </c>
      <c r="W235">
        <v>900</v>
      </c>
    </row>
    <row r="236" spans="1:23" x14ac:dyDescent="0.35">
      <c r="A236" t="s">
        <v>453</v>
      </c>
      <c r="B236" t="s">
        <v>68</v>
      </c>
      <c r="C236">
        <v>40</v>
      </c>
      <c r="D236" t="s">
        <v>11</v>
      </c>
      <c r="E236" t="s">
        <v>37</v>
      </c>
      <c r="F236" t="s">
        <v>69</v>
      </c>
      <c r="G236" t="s">
        <v>21</v>
      </c>
      <c r="H236" t="s">
        <v>33</v>
      </c>
      <c r="I236" t="s">
        <v>34</v>
      </c>
      <c r="J236" t="s">
        <v>108</v>
      </c>
      <c r="K236" t="s">
        <v>109</v>
      </c>
      <c r="L236" s="5">
        <v>45796</v>
      </c>
      <c r="M236" s="7">
        <v>0.84722222222222221</v>
      </c>
      <c r="N236" s="7">
        <v>9.0277777777777776E-2</v>
      </c>
      <c r="O236" t="s">
        <v>127</v>
      </c>
      <c r="P236" t="s">
        <v>100</v>
      </c>
      <c r="Q236">
        <v>1340</v>
      </c>
      <c r="R236">
        <v>22.6</v>
      </c>
      <c r="S236" t="s">
        <v>94</v>
      </c>
      <c r="T236">
        <v>0</v>
      </c>
      <c r="U236" t="s">
        <v>95</v>
      </c>
      <c r="V236" t="s">
        <v>103</v>
      </c>
      <c r="W236">
        <v>8700</v>
      </c>
    </row>
    <row r="237" spans="1:23" x14ac:dyDescent="0.35">
      <c r="A237" t="s">
        <v>454</v>
      </c>
      <c r="B237" t="s">
        <v>71</v>
      </c>
      <c r="C237">
        <v>33</v>
      </c>
      <c r="D237" t="s">
        <v>18</v>
      </c>
      <c r="E237" t="s">
        <v>43</v>
      </c>
      <c r="F237" t="s">
        <v>72</v>
      </c>
      <c r="G237" t="s">
        <v>21</v>
      </c>
      <c r="H237" t="s">
        <v>15</v>
      </c>
      <c r="I237" t="s">
        <v>40</v>
      </c>
      <c r="J237" t="s">
        <v>91</v>
      </c>
      <c r="K237" t="s">
        <v>114</v>
      </c>
      <c r="L237" s="5">
        <v>45796</v>
      </c>
      <c r="M237" s="7">
        <v>0.11805555555555555</v>
      </c>
      <c r="N237" s="7">
        <v>0.64583333333333337</v>
      </c>
      <c r="O237" t="s">
        <v>128</v>
      </c>
      <c r="P237" t="s">
        <v>106</v>
      </c>
      <c r="Q237">
        <v>2600</v>
      </c>
      <c r="R237">
        <v>31.4</v>
      </c>
      <c r="S237" t="s">
        <v>101</v>
      </c>
      <c r="T237">
        <v>90</v>
      </c>
      <c r="U237" t="s">
        <v>107</v>
      </c>
      <c r="V237" t="s">
        <v>96</v>
      </c>
      <c r="W237">
        <v>15000</v>
      </c>
    </row>
    <row r="238" spans="1:23" x14ac:dyDescent="0.35">
      <c r="A238" t="s">
        <v>455</v>
      </c>
      <c r="B238" t="s">
        <v>74</v>
      </c>
      <c r="C238">
        <v>47</v>
      </c>
      <c r="D238" t="s">
        <v>11</v>
      </c>
      <c r="E238" t="s">
        <v>19</v>
      </c>
      <c r="F238" t="s">
        <v>75</v>
      </c>
      <c r="G238" t="s">
        <v>21</v>
      </c>
      <c r="H238" t="s">
        <v>14</v>
      </c>
      <c r="I238" t="s">
        <v>23</v>
      </c>
      <c r="J238" t="s">
        <v>90</v>
      </c>
      <c r="K238" t="s">
        <v>98</v>
      </c>
      <c r="L238" s="5">
        <v>45797</v>
      </c>
      <c r="M238" s="7">
        <v>0.54513888888888884</v>
      </c>
      <c r="N238" s="7">
        <v>0.71875</v>
      </c>
      <c r="O238" t="s">
        <v>129</v>
      </c>
      <c r="P238" t="s">
        <v>93</v>
      </c>
      <c r="Q238">
        <v>390</v>
      </c>
      <c r="R238">
        <v>16.100000000000001</v>
      </c>
      <c r="S238" t="s">
        <v>94</v>
      </c>
      <c r="T238">
        <v>0</v>
      </c>
      <c r="U238" t="s">
        <v>95</v>
      </c>
      <c r="V238" t="s">
        <v>103</v>
      </c>
      <c r="W238">
        <v>3000</v>
      </c>
    </row>
    <row r="239" spans="1:23" x14ac:dyDescent="0.35">
      <c r="A239" t="s">
        <v>456</v>
      </c>
      <c r="B239" t="s">
        <v>131</v>
      </c>
      <c r="C239">
        <v>28</v>
      </c>
      <c r="D239" t="s">
        <v>18</v>
      </c>
      <c r="E239" t="s">
        <v>52</v>
      </c>
      <c r="F239" t="s">
        <v>132</v>
      </c>
      <c r="G239" t="s">
        <v>21</v>
      </c>
      <c r="H239" t="s">
        <v>33</v>
      </c>
      <c r="I239" t="s">
        <v>28</v>
      </c>
      <c r="J239" t="s">
        <v>108</v>
      </c>
      <c r="K239" t="s">
        <v>104</v>
      </c>
      <c r="L239" s="5">
        <v>45797</v>
      </c>
      <c r="M239" s="7">
        <v>0.32291666666666669</v>
      </c>
      <c r="N239" s="7">
        <v>0.75694444444444442</v>
      </c>
      <c r="O239" t="s">
        <v>133</v>
      </c>
      <c r="P239" t="s">
        <v>118</v>
      </c>
      <c r="Q239">
        <v>980</v>
      </c>
      <c r="R239">
        <v>21</v>
      </c>
      <c r="S239" t="s">
        <v>111</v>
      </c>
      <c r="T239">
        <v>0</v>
      </c>
      <c r="U239" t="s">
        <v>102</v>
      </c>
      <c r="V239" t="s">
        <v>96</v>
      </c>
      <c r="W239">
        <v>7200</v>
      </c>
    </row>
    <row r="240" spans="1:23" x14ac:dyDescent="0.35">
      <c r="A240" t="s">
        <v>457</v>
      </c>
      <c r="B240" t="s">
        <v>135</v>
      </c>
      <c r="C240">
        <v>39</v>
      </c>
      <c r="D240" t="s">
        <v>11</v>
      </c>
      <c r="E240" t="s">
        <v>12</v>
      </c>
      <c r="F240" s="3" t="s">
        <v>136</v>
      </c>
      <c r="G240" t="s">
        <v>13</v>
      </c>
      <c r="H240" t="s">
        <v>15</v>
      </c>
      <c r="I240" t="s">
        <v>22</v>
      </c>
      <c r="J240" t="s">
        <v>91</v>
      </c>
      <c r="K240" t="s">
        <v>97</v>
      </c>
      <c r="L240" s="5">
        <v>45798</v>
      </c>
      <c r="M240" s="7">
        <v>0.47916666666666669</v>
      </c>
      <c r="N240" s="7">
        <v>0.56944444444444442</v>
      </c>
      <c r="O240" t="s">
        <v>137</v>
      </c>
      <c r="P240" t="s">
        <v>93</v>
      </c>
      <c r="Q240">
        <v>110</v>
      </c>
      <c r="R240">
        <v>8.6</v>
      </c>
      <c r="S240" t="s">
        <v>94</v>
      </c>
      <c r="T240">
        <v>0</v>
      </c>
      <c r="U240" t="s">
        <v>95</v>
      </c>
      <c r="V240" t="s">
        <v>103</v>
      </c>
      <c r="W240">
        <v>1500</v>
      </c>
    </row>
    <row r="241" spans="1:23" x14ac:dyDescent="0.35">
      <c r="A241" t="s">
        <v>458</v>
      </c>
      <c r="B241" t="s">
        <v>139</v>
      </c>
      <c r="C241">
        <v>26</v>
      </c>
      <c r="D241" t="s">
        <v>18</v>
      </c>
      <c r="E241" t="s">
        <v>19</v>
      </c>
      <c r="F241" t="s">
        <v>140</v>
      </c>
      <c r="G241" t="s">
        <v>13</v>
      </c>
      <c r="H241" t="s">
        <v>57</v>
      </c>
      <c r="I241" t="s">
        <v>39</v>
      </c>
      <c r="J241" t="s">
        <v>121</v>
      </c>
      <c r="K241" t="s">
        <v>113</v>
      </c>
      <c r="L241" s="5">
        <v>45798</v>
      </c>
      <c r="M241" s="7">
        <v>0.66666666666666663</v>
      </c>
      <c r="N241" s="7">
        <v>0.76736111111111116</v>
      </c>
      <c r="O241" t="s">
        <v>141</v>
      </c>
      <c r="P241" t="s">
        <v>93</v>
      </c>
      <c r="Q241">
        <v>140</v>
      </c>
      <c r="R241">
        <v>11.2</v>
      </c>
      <c r="S241" t="s">
        <v>101</v>
      </c>
      <c r="T241">
        <v>20</v>
      </c>
      <c r="U241" t="s">
        <v>95</v>
      </c>
      <c r="V241" t="s">
        <v>96</v>
      </c>
      <c r="W241">
        <v>2700</v>
      </c>
    </row>
    <row r="242" spans="1:23" x14ac:dyDescent="0.35">
      <c r="A242" t="s">
        <v>459</v>
      </c>
      <c r="B242" t="s">
        <v>143</v>
      </c>
      <c r="C242">
        <v>50</v>
      </c>
      <c r="D242" t="s">
        <v>11</v>
      </c>
      <c r="E242" t="s">
        <v>26</v>
      </c>
      <c r="F242" t="s">
        <v>144</v>
      </c>
      <c r="G242" t="s">
        <v>21</v>
      </c>
      <c r="H242" t="s">
        <v>14</v>
      </c>
      <c r="I242" t="s">
        <v>34</v>
      </c>
      <c r="J242" t="s">
        <v>90</v>
      </c>
      <c r="K242" t="s">
        <v>109</v>
      </c>
      <c r="L242" s="5">
        <v>45799</v>
      </c>
      <c r="M242" s="7">
        <v>0.88194444444444442</v>
      </c>
      <c r="N242" s="7">
        <v>0.2013888888888889</v>
      </c>
      <c r="O242" t="s">
        <v>145</v>
      </c>
      <c r="P242" t="s">
        <v>100</v>
      </c>
      <c r="Q242">
        <v>1450</v>
      </c>
      <c r="R242">
        <v>25.9</v>
      </c>
      <c r="S242" t="s">
        <v>94</v>
      </c>
      <c r="T242">
        <v>0</v>
      </c>
      <c r="U242" t="s">
        <v>107</v>
      </c>
      <c r="V242" t="s">
        <v>125</v>
      </c>
      <c r="W242">
        <v>11800</v>
      </c>
    </row>
    <row r="243" spans="1:23" x14ac:dyDescent="0.35">
      <c r="A243" t="s">
        <v>460</v>
      </c>
      <c r="B243" t="s">
        <v>222</v>
      </c>
      <c r="C243">
        <v>31</v>
      </c>
      <c r="D243" t="s">
        <v>18</v>
      </c>
      <c r="E243" t="s">
        <v>31</v>
      </c>
      <c r="F243" t="s">
        <v>148</v>
      </c>
      <c r="G243" t="s">
        <v>21</v>
      </c>
      <c r="H243" t="s">
        <v>15</v>
      </c>
      <c r="I243" t="s">
        <v>23</v>
      </c>
      <c r="J243" t="s">
        <v>91</v>
      </c>
      <c r="K243" t="s">
        <v>98</v>
      </c>
      <c r="L243" s="5">
        <v>45799</v>
      </c>
      <c r="M243" s="7">
        <v>0.18402777777777779</v>
      </c>
      <c r="N243" s="7">
        <v>0.33333333333333331</v>
      </c>
      <c r="O243" t="s">
        <v>149</v>
      </c>
      <c r="P243" t="s">
        <v>93</v>
      </c>
      <c r="Q243">
        <v>330</v>
      </c>
      <c r="R243">
        <v>13.5</v>
      </c>
      <c r="S243" t="s">
        <v>111</v>
      </c>
      <c r="T243">
        <v>0</v>
      </c>
      <c r="U243" t="s">
        <v>102</v>
      </c>
      <c r="V243" t="s">
        <v>112</v>
      </c>
      <c r="W243">
        <v>2100</v>
      </c>
    </row>
    <row r="244" spans="1:23" x14ac:dyDescent="0.35">
      <c r="A244" t="s">
        <v>461</v>
      </c>
      <c r="B244" t="s">
        <v>224</v>
      </c>
      <c r="C244">
        <v>44</v>
      </c>
      <c r="D244" t="s">
        <v>11</v>
      </c>
      <c r="E244" t="s">
        <v>12</v>
      </c>
      <c r="F244" s="11" t="s">
        <v>225</v>
      </c>
      <c r="G244" t="s">
        <v>13</v>
      </c>
      <c r="H244" t="s">
        <v>22</v>
      </c>
      <c r="I244" t="s">
        <v>57</v>
      </c>
      <c r="J244" t="s">
        <v>97</v>
      </c>
      <c r="K244" t="s">
        <v>121</v>
      </c>
      <c r="L244" s="5">
        <v>45800</v>
      </c>
      <c r="M244" s="7">
        <v>0.38194444444444442</v>
      </c>
      <c r="N244" s="7">
        <v>0.4861111111111111</v>
      </c>
      <c r="O244" t="s">
        <v>226</v>
      </c>
      <c r="P244" t="s">
        <v>93</v>
      </c>
      <c r="Q244">
        <v>125</v>
      </c>
      <c r="R244">
        <v>12</v>
      </c>
      <c r="S244" t="s">
        <v>94</v>
      </c>
      <c r="T244">
        <v>0</v>
      </c>
      <c r="U244" t="s">
        <v>95</v>
      </c>
      <c r="V244" t="s">
        <v>103</v>
      </c>
      <c r="W244">
        <v>2100</v>
      </c>
    </row>
    <row r="245" spans="1:23" x14ac:dyDescent="0.35">
      <c r="A245" t="s">
        <v>462</v>
      </c>
      <c r="B245" t="s">
        <v>30</v>
      </c>
      <c r="C245">
        <v>25</v>
      </c>
      <c r="D245" t="s">
        <v>18</v>
      </c>
      <c r="E245" t="s">
        <v>19</v>
      </c>
      <c r="F245" t="s">
        <v>20</v>
      </c>
      <c r="G245" t="s">
        <v>21</v>
      </c>
      <c r="H245" t="s">
        <v>15</v>
      </c>
      <c r="I245" t="s">
        <v>28</v>
      </c>
      <c r="J245" t="s">
        <v>91</v>
      </c>
      <c r="K245" t="s">
        <v>104</v>
      </c>
      <c r="L245" s="5">
        <v>45800</v>
      </c>
      <c r="M245" s="7">
        <v>5.2083333333333336E-2</v>
      </c>
      <c r="N245" s="7">
        <v>0.40972222222222221</v>
      </c>
      <c r="O245" t="s">
        <v>99</v>
      </c>
      <c r="P245" t="s">
        <v>100</v>
      </c>
      <c r="Q245">
        <v>860</v>
      </c>
      <c r="R245">
        <v>24</v>
      </c>
      <c r="S245" t="s">
        <v>101</v>
      </c>
      <c r="T245">
        <v>50</v>
      </c>
      <c r="U245" t="s">
        <v>102</v>
      </c>
      <c r="V245" t="s">
        <v>96</v>
      </c>
      <c r="W245">
        <v>8400</v>
      </c>
    </row>
    <row r="246" spans="1:23" x14ac:dyDescent="0.35">
      <c r="A246" t="s">
        <v>463</v>
      </c>
      <c r="B246" t="s">
        <v>197</v>
      </c>
      <c r="C246">
        <v>38</v>
      </c>
      <c r="D246" t="s">
        <v>11</v>
      </c>
      <c r="E246" t="s">
        <v>37</v>
      </c>
      <c r="F246" t="s">
        <v>38</v>
      </c>
      <c r="G246" t="s">
        <v>21</v>
      </c>
      <c r="H246" t="s">
        <v>39</v>
      </c>
      <c r="I246" t="s">
        <v>40</v>
      </c>
      <c r="J246" t="s">
        <v>113</v>
      </c>
      <c r="K246" t="s">
        <v>114</v>
      </c>
      <c r="L246" s="5">
        <v>45801</v>
      </c>
      <c r="M246" s="7">
        <v>0.91666666666666663</v>
      </c>
      <c r="N246" s="7">
        <v>0.57291666666666663</v>
      </c>
      <c r="O246" t="s">
        <v>115</v>
      </c>
      <c r="P246" t="s">
        <v>100</v>
      </c>
      <c r="Q246">
        <v>1980</v>
      </c>
      <c r="R246">
        <v>27.5</v>
      </c>
      <c r="S246" t="s">
        <v>94</v>
      </c>
      <c r="T246">
        <v>0</v>
      </c>
      <c r="U246" t="s">
        <v>102</v>
      </c>
      <c r="V246" t="s">
        <v>103</v>
      </c>
      <c r="W246">
        <v>9700</v>
      </c>
    </row>
    <row r="247" spans="1:23" x14ac:dyDescent="0.35">
      <c r="A247" t="s">
        <v>464</v>
      </c>
      <c r="B247" t="s">
        <v>42</v>
      </c>
      <c r="C247">
        <v>31</v>
      </c>
      <c r="D247" t="s">
        <v>18</v>
      </c>
      <c r="E247" t="s">
        <v>43</v>
      </c>
      <c r="F247" t="s">
        <v>44</v>
      </c>
      <c r="G247" t="s">
        <v>21</v>
      </c>
      <c r="H247" t="s">
        <v>15</v>
      </c>
      <c r="I247" t="s">
        <v>45</v>
      </c>
      <c r="J247" t="s">
        <v>91</v>
      </c>
      <c r="K247" t="s">
        <v>116</v>
      </c>
      <c r="L247" s="5">
        <v>45801</v>
      </c>
      <c r="M247" s="7">
        <v>0.15625</v>
      </c>
      <c r="N247" s="7">
        <v>0.47222222222222221</v>
      </c>
      <c r="O247" t="s">
        <v>117</v>
      </c>
      <c r="P247" t="s">
        <v>118</v>
      </c>
      <c r="Q247">
        <v>980</v>
      </c>
      <c r="R247">
        <v>19.3</v>
      </c>
      <c r="S247" t="s">
        <v>94</v>
      </c>
      <c r="T247">
        <v>0</v>
      </c>
      <c r="U247" t="s">
        <v>95</v>
      </c>
      <c r="V247" t="s">
        <v>96</v>
      </c>
      <c r="W247">
        <v>5400</v>
      </c>
    </row>
    <row r="248" spans="1:23" x14ac:dyDescent="0.35">
      <c r="A248" t="s">
        <v>465</v>
      </c>
      <c r="B248" t="s">
        <v>231</v>
      </c>
      <c r="C248">
        <v>35</v>
      </c>
      <c r="D248" t="s">
        <v>11</v>
      </c>
      <c r="E248" t="s">
        <v>26</v>
      </c>
      <c r="F248" t="s">
        <v>232</v>
      </c>
      <c r="G248" t="s">
        <v>21</v>
      </c>
      <c r="H248" t="s">
        <v>22</v>
      </c>
      <c r="I248" t="s">
        <v>28</v>
      </c>
      <c r="J248" t="s">
        <v>97</v>
      </c>
      <c r="K248" t="s">
        <v>104</v>
      </c>
      <c r="L248" s="5">
        <v>45802</v>
      </c>
      <c r="M248" s="7">
        <v>9.0277777777777776E-2</v>
      </c>
      <c r="N248" s="7">
        <v>0.36805555555555558</v>
      </c>
      <c r="O248" t="s">
        <v>119</v>
      </c>
      <c r="P248" t="s">
        <v>100</v>
      </c>
      <c r="Q248">
        <v>1800</v>
      </c>
      <c r="R248">
        <v>26.5</v>
      </c>
      <c r="S248" t="s">
        <v>94</v>
      </c>
      <c r="T248">
        <v>0</v>
      </c>
      <c r="U248" t="s">
        <v>107</v>
      </c>
      <c r="V248" t="s">
        <v>103</v>
      </c>
      <c r="W248">
        <v>12000</v>
      </c>
    </row>
    <row r="249" spans="1:23" x14ac:dyDescent="0.35">
      <c r="A249" t="s">
        <v>466</v>
      </c>
      <c r="B249" t="s">
        <v>234</v>
      </c>
      <c r="C249">
        <v>28</v>
      </c>
      <c r="D249" t="s">
        <v>18</v>
      </c>
      <c r="E249" t="s">
        <v>12</v>
      </c>
      <c r="F249" s="3" t="s">
        <v>235</v>
      </c>
      <c r="G249" t="s">
        <v>13</v>
      </c>
      <c r="H249" t="s">
        <v>14</v>
      </c>
      <c r="I249" t="s">
        <v>15</v>
      </c>
      <c r="J249" t="s">
        <v>90</v>
      </c>
      <c r="K249" t="s">
        <v>91</v>
      </c>
      <c r="L249" s="5">
        <v>45802</v>
      </c>
      <c r="M249" s="7">
        <v>0.28125</v>
      </c>
      <c r="N249" s="7">
        <v>0.3888888888888889</v>
      </c>
      <c r="O249" t="s">
        <v>236</v>
      </c>
      <c r="P249" t="s">
        <v>93</v>
      </c>
      <c r="Q249">
        <v>150</v>
      </c>
      <c r="R249">
        <v>11.2</v>
      </c>
      <c r="S249" t="s">
        <v>101</v>
      </c>
      <c r="T249">
        <v>30</v>
      </c>
      <c r="U249" t="s">
        <v>102</v>
      </c>
      <c r="V249" t="s">
        <v>96</v>
      </c>
      <c r="W249">
        <v>3200</v>
      </c>
    </row>
    <row r="250" spans="1:23" x14ac:dyDescent="0.35">
      <c r="A250" t="s">
        <v>467</v>
      </c>
      <c r="B250" t="s">
        <v>25</v>
      </c>
      <c r="C250">
        <v>41</v>
      </c>
      <c r="D250" t="s">
        <v>11</v>
      </c>
      <c r="E250" t="s">
        <v>26</v>
      </c>
      <c r="F250" t="s">
        <v>27</v>
      </c>
      <c r="G250" t="s">
        <v>21</v>
      </c>
      <c r="H250" t="s">
        <v>15</v>
      </c>
      <c r="I250" t="s">
        <v>28</v>
      </c>
      <c r="J250" t="s">
        <v>91</v>
      </c>
      <c r="K250" t="s">
        <v>104</v>
      </c>
      <c r="L250" s="5">
        <v>45803</v>
      </c>
      <c r="M250" s="7">
        <v>5.5555555555555552E-2</v>
      </c>
      <c r="N250" s="7">
        <v>0.41319444444444442</v>
      </c>
      <c r="O250" t="s">
        <v>105</v>
      </c>
      <c r="P250" t="s">
        <v>106</v>
      </c>
      <c r="Q250">
        <v>2450</v>
      </c>
      <c r="R250">
        <v>30.2</v>
      </c>
      <c r="S250" t="s">
        <v>94</v>
      </c>
      <c r="T250">
        <v>0</v>
      </c>
      <c r="U250" t="s">
        <v>107</v>
      </c>
      <c r="V250" t="s">
        <v>103</v>
      </c>
      <c r="W250">
        <v>13200</v>
      </c>
    </row>
    <row r="251" spans="1:23" x14ac:dyDescent="0.35">
      <c r="A251" t="s">
        <v>468</v>
      </c>
      <c r="B251" t="s">
        <v>30</v>
      </c>
      <c r="C251">
        <v>25</v>
      </c>
      <c r="D251" t="s">
        <v>18</v>
      </c>
      <c r="E251" t="s">
        <v>31</v>
      </c>
      <c r="F251" t="s">
        <v>32</v>
      </c>
      <c r="G251" t="s">
        <v>21</v>
      </c>
      <c r="H251" t="s">
        <v>33</v>
      </c>
      <c r="I251" t="s">
        <v>34</v>
      </c>
      <c r="J251" t="s">
        <v>108</v>
      </c>
      <c r="K251" t="s">
        <v>109</v>
      </c>
      <c r="L251" s="5">
        <v>45803</v>
      </c>
      <c r="M251" s="7">
        <v>0.34027777777777779</v>
      </c>
      <c r="N251" s="7">
        <v>0.58333333333333337</v>
      </c>
      <c r="O251" t="s">
        <v>110</v>
      </c>
      <c r="P251" t="s">
        <v>93</v>
      </c>
      <c r="Q251">
        <v>420</v>
      </c>
      <c r="R251">
        <v>15.6</v>
      </c>
      <c r="S251" t="s">
        <v>111</v>
      </c>
      <c r="T251">
        <v>0</v>
      </c>
      <c r="U251" t="s">
        <v>95</v>
      </c>
      <c r="V251" t="s">
        <v>112</v>
      </c>
      <c r="W251">
        <v>3500</v>
      </c>
    </row>
    <row r="252" spans="1:23" x14ac:dyDescent="0.35">
      <c r="A252" t="s">
        <v>469</v>
      </c>
      <c r="B252" t="s">
        <v>36</v>
      </c>
      <c r="C252">
        <v>38</v>
      </c>
      <c r="D252" t="s">
        <v>11</v>
      </c>
      <c r="E252" t="s">
        <v>37</v>
      </c>
      <c r="F252" t="s">
        <v>38</v>
      </c>
      <c r="G252" t="s">
        <v>21</v>
      </c>
      <c r="H252" t="s">
        <v>39</v>
      </c>
      <c r="I252" t="s">
        <v>40</v>
      </c>
      <c r="J252" t="s">
        <v>113</v>
      </c>
      <c r="K252" t="s">
        <v>114</v>
      </c>
      <c r="L252" s="5">
        <v>45804</v>
      </c>
      <c r="M252" s="7">
        <v>0.91666666666666663</v>
      </c>
      <c r="N252" s="7">
        <v>0.57291666666666663</v>
      </c>
      <c r="O252" t="s">
        <v>115</v>
      </c>
      <c r="P252" t="s">
        <v>100</v>
      </c>
      <c r="Q252">
        <v>1980</v>
      </c>
      <c r="R252">
        <v>27.5</v>
      </c>
      <c r="S252" t="s">
        <v>94</v>
      </c>
      <c r="T252">
        <v>0</v>
      </c>
      <c r="U252" t="s">
        <v>102</v>
      </c>
      <c r="V252" t="s">
        <v>103</v>
      </c>
      <c r="W252">
        <v>9700</v>
      </c>
    </row>
    <row r="253" spans="1:23" x14ac:dyDescent="0.35">
      <c r="A253" t="s">
        <v>470</v>
      </c>
      <c r="B253" t="s">
        <v>42</v>
      </c>
      <c r="C253">
        <v>31</v>
      </c>
      <c r="D253" t="s">
        <v>18</v>
      </c>
      <c r="E253" t="s">
        <v>43</v>
      </c>
      <c r="F253" t="s">
        <v>44</v>
      </c>
      <c r="G253" t="s">
        <v>21</v>
      </c>
      <c r="H253" t="s">
        <v>15</v>
      </c>
      <c r="I253" t="s">
        <v>45</v>
      </c>
      <c r="J253" t="s">
        <v>91</v>
      </c>
      <c r="K253" t="s">
        <v>116</v>
      </c>
      <c r="L253" s="5">
        <v>45804</v>
      </c>
      <c r="M253" s="7">
        <v>0.15625</v>
      </c>
      <c r="N253" s="7">
        <v>0.47222222222222221</v>
      </c>
      <c r="O253" t="s">
        <v>117</v>
      </c>
      <c r="P253" t="s">
        <v>118</v>
      </c>
      <c r="Q253">
        <v>980</v>
      </c>
      <c r="R253">
        <v>19.3</v>
      </c>
      <c r="S253" t="s">
        <v>101</v>
      </c>
      <c r="T253">
        <v>35</v>
      </c>
      <c r="U253" t="s">
        <v>95</v>
      </c>
      <c r="V253" t="s">
        <v>96</v>
      </c>
      <c r="W253">
        <v>5400</v>
      </c>
    </row>
    <row r="254" spans="1:23" x14ac:dyDescent="0.35">
      <c r="A254" t="s">
        <v>471</v>
      </c>
      <c r="B254" t="s">
        <v>47</v>
      </c>
      <c r="C254">
        <v>45</v>
      </c>
      <c r="D254" t="s">
        <v>11</v>
      </c>
      <c r="E254" t="s">
        <v>48</v>
      </c>
      <c r="F254" t="s">
        <v>49</v>
      </c>
      <c r="G254" t="s">
        <v>21</v>
      </c>
      <c r="H254" t="s">
        <v>14</v>
      </c>
      <c r="I254" t="s">
        <v>28</v>
      </c>
      <c r="J254" t="s">
        <v>90</v>
      </c>
      <c r="K254" t="s">
        <v>104</v>
      </c>
      <c r="L254" s="5">
        <v>45805</v>
      </c>
      <c r="M254" s="7">
        <v>0.42708333333333331</v>
      </c>
      <c r="N254" s="7">
        <v>0.77083333333333337</v>
      </c>
      <c r="O254" t="s">
        <v>119</v>
      </c>
      <c r="P254" t="s">
        <v>100</v>
      </c>
      <c r="Q254">
        <v>1650</v>
      </c>
      <c r="R254">
        <v>26.8</v>
      </c>
      <c r="S254" t="s">
        <v>94</v>
      </c>
      <c r="T254">
        <v>0</v>
      </c>
      <c r="U254" t="s">
        <v>107</v>
      </c>
      <c r="V254" t="s">
        <v>103</v>
      </c>
      <c r="W254">
        <v>11000</v>
      </c>
    </row>
    <row r="255" spans="1:23" x14ac:dyDescent="0.35">
      <c r="A255" t="s">
        <v>472</v>
      </c>
      <c r="B255" t="s">
        <v>51</v>
      </c>
      <c r="C255">
        <v>27</v>
      </c>
      <c r="D255" t="s">
        <v>18</v>
      </c>
      <c r="E255" t="s">
        <v>52</v>
      </c>
      <c r="F255" t="s">
        <v>53</v>
      </c>
      <c r="G255" t="s">
        <v>21</v>
      </c>
      <c r="H255" t="s">
        <v>22</v>
      </c>
      <c r="I255" t="s">
        <v>40</v>
      </c>
      <c r="J255" t="s">
        <v>97</v>
      </c>
      <c r="K255" t="s">
        <v>114</v>
      </c>
      <c r="L255" s="5">
        <v>45805</v>
      </c>
      <c r="M255" s="7">
        <v>0.24305555555555555</v>
      </c>
      <c r="N255" s="7">
        <v>0.72222222222222221</v>
      </c>
      <c r="O255" t="s">
        <v>120</v>
      </c>
      <c r="P255" t="s">
        <v>93</v>
      </c>
      <c r="Q255">
        <v>740</v>
      </c>
      <c r="R255">
        <v>17.2</v>
      </c>
      <c r="S255" t="s">
        <v>111</v>
      </c>
      <c r="T255">
        <v>0</v>
      </c>
      <c r="U255" t="s">
        <v>95</v>
      </c>
      <c r="V255" t="s">
        <v>96</v>
      </c>
      <c r="W255">
        <v>4100</v>
      </c>
    </row>
    <row r="256" spans="1:23" x14ac:dyDescent="0.35">
      <c r="A256" t="s">
        <v>473</v>
      </c>
      <c r="B256" t="s">
        <v>55</v>
      </c>
      <c r="C256">
        <v>36</v>
      </c>
      <c r="D256" t="s">
        <v>11</v>
      </c>
      <c r="E256" t="s">
        <v>12</v>
      </c>
      <c r="F256" s="3" t="s">
        <v>56</v>
      </c>
      <c r="G256" t="s">
        <v>13</v>
      </c>
      <c r="H256" t="s">
        <v>57</v>
      </c>
      <c r="I256" t="s">
        <v>33</v>
      </c>
      <c r="J256" t="s">
        <v>121</v>
      </c>
      <c r="K256" t="s">
        <v>108</v>
      </c>
      <c r="L256" s="5">
        <v>45806</v>
      </c>
      <c r="M256" s="7">
        <v>0.60069444444444442</v>
      </c>
      <c r="N256" s="7">
        <v>0.71527777777777779</v>
      </c>
      <c r="O256" t="s">
        <v>122</v>
      </c>
      <c r="P256" t="s">
        <v>93</v>
      </c>
      <c r="Q256">
        <v>125</v>
      </c>
      <c r="R256">
        <v>12</v>
      </c>
      <c r="S256" t="s">
        <v>94</v>
      </c>
      <c r="T256">
        <v>0</v>
      </c>
      <c r="U256" t="s">
        <v>102</v>
      </c>
      <c r="V256" t="s">
        <v>103</v>
      </c>
      <c r="W256">
        <v>1800</v>
      </c>
    </row>
    <row r="257" spans="1:23" x14ac:dyDescent="0.35">
      <c r="A257" t="s">
        <v>474</v>
      </c>
      <c r="B257" t="s">
        <v>59</v>
      </c>
      <c r="C257">
        <v>30</v>
      </c>
      <c r="D257" t="s">
        <v>18</v>
      </c>
      <c r="E257" t="s">
        <v>19</v>
      </c>
      <c r="F257" t="s">
        <v>60</v>
      </c>
      <c r="G257" t="s">
        <v>13</v>
      </c>
      <c r="H257" t="s">
        <v>15</v>
      </c>
      <c r="I257" t="s">
        <v>14</v>
      </c>
      <c r="J257" t="s">
        <v>91</v>
      </c>
      <c r="K257" t="s">
        <v>90</v>
      </c>
      <c r="L257" s="5">
        <v>45806</v>
      </c>
      <c r="M257" s="7">
        <v>0.40277777777777779</v>
      </c>
      <c r="N257" s="7">
        <v>0.51736111111111116</v>
      </c>
      <c r="O257" t="s">
        <v>123</v>
      </c>
      <c r="P257" t="s">
        <v>118</v>
      </c>
      <c r="Q257">
        <v>310</v>
      </c>
      <c r="R257">
        <v>20.5</v>
      </c>
      <c r="S257" t="s">
        <v>101</v>
      </c>
      <c r="T257">
        <v>35</v>
      </c>
      <c r="U257" t="s">
        <v>95</v>
      </c>
      <c r="V257" t="s">
        <v>96</v>
      </c>
      <c r="W257">
        <v>6200</v>
      </c>
    </row>
    <row r="258" spans="1:23" x14ac:dyDescent="0.35">
      <c r="A258" t="s">
        <v>475</v>
      </c>
      <c r="B258" t="s">
        <v>62</v>
      </c>
      <c r="C258">
        <v>52</v>
      </c>
      <c r="D258" t="s">
        <v>11</v>
      </c>
      <c r="E258" t="s">
        <v>26</v>
      </c>
      <c r="F258" t="s">
        <v>63</v>
      </c>
      <c r="G258" t="s">
        <v>21</v>
      </c>
      <c r="H258" t="s">
        <v>22</v>
      </c>
      <c r="I258" t="s">
        <v>23</v>
      </c>
      <c r="J258" t="s">
        <v>97</v>
      </c>
      <c r="K258" t="s">
        <v>98</v>
      </c>
      <c r="L258" s="5">
        <v>45807</v>
      </c>
      <c r="M258" s="7">
        <v>0.96875</v>
      </c>
      <c r="N258" s="7">
        <v>0.12152777777777778</v>
      </c>
      <c r="O258" t="s">
        <v>124</v>
      </c>
      <c r="P258" t="s">
        <v>100</v>
      </c>
      <c r="Q258">
        <v>1200</v>
      </c>
      <c r="R258">
        <v>28</v>
      </c>
      <c r="S258" t="s">
        <v>94</v>
      </c>
      <c r="T258">
        <v>0</v>
      </c>
      <c r="U258" t="s">
        <v>107</v>
      </c>
      <c r="V258" t="s">
        <v>125</v>
      </c>
      <c r="W258">
        <v>14000</v>
      </c>
    </row>
    <row r="259" spans="1:23" x14ac:dyDescent="0.35">
      <c r="A259" t="s">
        <v>476</v>
      </c>
      <c r="B259" t="s">
        <v>65</v>
      </c>
      <c r="C259">
        <v>24</v>
      </c>
      <c r="D259" t="s">
        <v>18</v>
      </c>
      <c r="E259" t="s">
        <v>12</v>
      </c>
      <c r="F259" s="3" t="s">
        <v>66</v>
      </c>
      <c r="G259" t="s">
        <v>13</v>
      </c>
      <c r="H259" t="s">
        <v>39</v>
      </c>
      <c r="I259" t="s">
        <v>15</v>
      </c>
      <c r="J259" t="s">
        <v>113</v>
      </c>
      <c r="K259" t="s">
        <v>91</v>
      </c>
      <c r="L259" s="5">
        <v>45807</v>
      </c>
      <c r="M259" s="7">
        <v>0.25694444444444442</v>
      </c>
      <c r="N259" s="7">
        <v>0.3611111111111111</v>
      </c>
      <c r="O259" t="s">
        <v>126</v>
      </c>
      <c r="P259" t="s">
        <v>93</v>
      </c>
      <c r="Q259">
        <v>160</v>
      </c>
      <c r="R259">
        <v>10.4</v>
      </c>
      <c r="S259" t="s">
        <v>111</v>
      </c>
      <c r="T259">
        <v>0</v>
      </c>
      <c r="U259" t="s">
        <v>102</v>
      </c>
      <c r="V259" t="s">
        <v>112</v>
      </c>
      <c r="W259">
        <v>900</v>
      </c>
    </row>
    <row r="260" spans="1:23" x14ac:dyDescent="0.35">
      <c r="A260" t="s">
        <v>477</v>
      </c>
      <c r="B260" t="s">
        <v>68</v>
      </c>
      <c r="C260">
        <v>40</v>
      </c>
      <c r="D260" t="s">
        <v>11</v>
      </c>
      <c r="E260" t="s">
        <v>37</v>
      </c>
      <c r="F260" t="s">
        <v>69</v>
      </c>
      <c r="G260" t="s">
        <v>21</v>
      </c>
      <c r="H260" t="s">
        <v>33</v>
      </c>
      <c r="I260" t="s">
        <v>34</v>
      </c>
      <c r="J260" t="s">
        <v>108</v>
      </c>
      <c r="K260" t="s">
        <v>109</v>
      </c>
      <c r="L260" s="5">
        <v>45808</v>
      </c>
      <c r="M260" s="7">
        <v>0.84722222222222221</v>
      </c>
      <c r="N260" s="7">
        <v>9.0277777777777776E-2</v>
      </c>
      <c r="O260" t="s">
        <v>127</v>
      </c>
      <c r="P260" t="s">
        <v>100</v>
      </c>
      <c r="Q260">
        <v>1340</v>
      </c>
      <c r="R260">
        <v>22.6</v>
      </c>
      <c r="S260" t="s">
        <v>94</v>
      </c>
      <c r="T260">
        <v>0</v>
      </c>
      <c r="U260" t="s">
        <v>95</v>
      </c>
      <c r="V260" t="s">
        <v>103</v>
      </c>
      <c r="W260">
        <v>8700</v>
      </c>
    </row>
    <row r="261" spans="1:23" x14ac:dyDescent="0.35">
      <c r="A261" t="s">
        <v>478</v>
      </c>
      <c r="B261" t="s">
        <v>71</v>
      </c>
      <c r="C261">
        <v>33</v>
      </c>
      <c r="D261" t="s">
        <v>18</v>
      </c>
      <c r="E261" t="s">
        <v>43</v>
      </c>
      <c r="F261" t="s">
        <v>72</v>
      </c>
      <c r="G261" t="s">
        <v>21</v>
      </c>
      <c r="H261" t="s">
        <v>15</v>
      </c>
      <c r="I261" t="s">
        <v>40</v>
      </c>
      <c r="J261" t="s">
        <v>91</v>
      </c>
      <c r="K261" t="s">
        <v>114</v>
      </c>
      <c r="L261" s="5">
        <v>45808</v>
      </c>
      <c r="M261" s="7">
        <v>0.11805555555555555</v>
      </c>
      <c r="N261" s="7">
        <v>0.64583333333333337</v>
      </c>
      <c r="O261" t="s">
        <v>128</v>
      </c>
      <c r="P261" t="s">
        <v>106</v>
      </c>
      <c r="Q261">
        <v>2600</v>
      </c>
      <c r="R261">
        <v>31.4</v>
      </c>
      <c r="S261" t="s">
        <v>101</v>
      </c>
      <c r="T261">
        <v>90</v>
      </c>
      <c r="U261" t="s">
        <v>107</v>
      </c>
      <c r="V261" t="s">
        <v>96</v>
      </c>
      <c r="W261">
        <v>15000</v>
      </c>
    </row>
    <row r="262" spans="1:23" x14ac:dyDescent="0.35">
      <c r="A262" t="s">
        <v>479</v>
      </c>
      <c r="B262" t="s">
        <v>74</v>
      </c>
      <c r="C262">
        <v>47</v>
      </c>
      <c r="D262" t="s">
        <v>11</v>
      </c>
      <c r="E262" t="s">
        <v>19</v>
      </c>
      <c r="F262" t="s">
        <v>75</v>
      </c>
      <c r="G262" t="s">
        <v>21</v>
      </c>
      <c r="H262" t="s">
        <v>14</v>
      </c>
      <c r="I262" t="s">
        <v>23</v>
      </c>
      <c r="J262" t="s">
        <v>90</v>
      </c>
      <c r="K262" t="s">
        <v>98</v>
      </c>
      <c r="L262" s="5">
        <v>45809</v>
      </c>
      <c r="M262" s="7">
        <v>0.54513888888888884</v>
      </c>
      <c r="N262" s="7">
        <v>0.71875</v>
      </c>
      <c r="O262" t="s">
        <v>129</v>
      </c>
      <c r="P262" t="s">
        <v>93</v>
      </c>
      <c r="Q262">
        <v>390</v>
      </c>
      <c r="R262">
        <v>16.100000000000001</v>
      </c>
      <c r="S262" t="s">
        <v>94</v>
      </c>
      <c r="T262">
        <v>0</v>
      </c>
      <c r="U262" t="s">
        <v>95</v>
      </c>
      <c r="V262" t="s">
        <v>103</v>
      </c>
      <c r="W262">
        <v>3000</v>
      </c>
    </row>
    <row r="263" spans="1:23" x14ac:dyDescent="0.35">
      <c r="A263" t="s">
        <v>480</v>
      </c>
      <c r="B263" t="s">
        <v>131</v>
      </c>
      <c r="C263">
        <v>28</v>
      </c>
      <c r="D263" t="s">
        <v>18</v>
      </c>
      <c r="E263" t="s">
        <v>52</v>
      </c>
      <c r="F263" t="s">
        <v>132</v>
      </c>
      <c r="G263" t="s">
        <v>21</v>
      </c>
      <c r="H263" t="s">
        <v>33</v>
      </c>
      <c r="I263" t="s">
        <v>28</v>
      </c>
      <c r="J263" t="s">
        <v>108</v>
      </c>
      <c r="K263" t="s">
        <v>104</v>
      </c>
      <c r="L263" s="5">
        <v>45809</v>
      </c>
      <c r="M263" s="7">
        <v>0.32291666666666669</v>
      </c>
      <c r="N263" s="7">
        <v>0.75694444444444442</v>
      </c>
      <c r="O263" t="s">
        <v>133</v>
      </c>
      <c r="P263" t="s">
        <v>118</v>
      </c>
      <c r="Q263">
        <v>980</v>
      </c>
      <c r="R263">
        <v>21</v>
      </c>
      <c r="S263" t="s">
        <v>111</v>
      </c>
      <c r="T263">
        <v>0</v>
      </c>
      <c r="U263" t="s">
        <v>102</v>
      </c>
      <c r="V263" t="s">
        <v>96</v>
      </c>
      <c r="W263">
        <v>7200</v>
      </c>
    </row>
    <row r="264" spans="1:23" x14ac:dyDescent="0.35">
      <c r="A264" t="s">
        <v>481</v>
      </c>
      <c r="B264" t="s">
        <v>135</v>
      </c>
      <c r="C264">
        <v>39</v>
      </c>
      <c r="D264" t="s">
        <v>11</v>
      </c>
      <c r="E264" t="s">
        <v>12</v>
      </c>
      <c r="F264" s="3" t="s">
        <v>136</v>
      </c>
      <c r="G264" t="s">
        <v>13</v>
      </c>
      <c r="H264" t="s">
        <v>15</v>
      </c>
      <c r="I264" t="s">
        <v>22</v>
      </c>
      <c r="J264" t="s">
        <v>91</v>
      </c>
      <c r="K264" t="s">
        <v>97</v>
      </c>
      <c r="L264" s="5">
        <v>45810</v>
      </c>
      <c r="M264" s="7">
        <v>0.47916666666666669</v>
      </c>
      <c r="N264" s="7">
        <v>0.56944444444444442</v>
      </c>
      <c r="O264" t="s">
        <v>137</v>
      </c>
      <c r="P264" t="s">
        <v>93</v>
      </c>
      <c r="Q264">
        <v>110</v>
      </c>
      <c r="R264">
        <v>8.6</v>
      </c>
      <c r="S264" t="s">
        <v>94</v>
      </c>
      <c r="T264">
        <v>0</v>
      </c>
      <c r="U264" t="s">
        <v>95</v>
      </c>
      <c r="V264" t="s">
        <v>103</v>
      </c>
      <c r="W264">
        <v>1500</v>
      </c>
    </row>
    <row r="265" spans="1:23" x14ac:dyDescent="0.35">
      <c r="A265" t="s">
        <v>482</v>
      </c>
      <c r="B265" t="s">
        <v>139</v>
      </c>
      <c r="C265">
        <v>26</v>
      </c>
      <c r="D265" t="s">
        <v>18</v>
      </c>
      <c r="E265" t="s">
        <v>19</v>
      </c>
      <c r="F265" t="s">
        <v>140</v>
      </c>
      <c r="G265" t="s">
        <v>13</v>
      </c>
      <c r="H265" t="s">
        <v>57</v>
      </c>
      <c r="I265" t="s">
        <v>39</v>
      </c>
      <c r="J265" t="s">
        <v>121</v>
      </c>
      <c r="K265" t="s">
        <v>113</v>
      </c>
      <c r="L265" s="5">
        <v>45810</v>
      </c>
      <c r="M265" s="7">
        <v>0.66666666666666663</v>
      </c>
      <c r="N265" s="7">
        <v>0.76736111111111116</v>
      </c>
      <c r="O265" t="s">
        <v>141</v>
      </c>
      <c r="P265" t="s">
        <v>93</v>
      </c>
      <c r="Q265">
        <v>140</v>
      </c>
      <c r="R265">
        <v>11.2</v>
      </c>
      <c r="S265" t="s">
        <v>101</v>
      </c>
      <c r="T265">
        <v>20</v>
      </c>
      <c r="U265" t="s">
        <v>95</v>
      </c>
      <c r="V265" t="s">
        <v>96</v>
      </c>
      <c r="W265">
        <v>2700</v>
      </c>
    </row>
    <row r="266" spans="1:23" x14ac:dyDescent="0.35">
      <c r="A266" t="s">
        <v>483</v>
      </c>
      <c r="B266" t="s">
        <v>143</v>
      </c>
      <c r="C266">
        <v>50</v>
      </c>
      <c r="D266" t="s">
        <v>11</v>
      </c>
      <c r="E266" t="s">
        <v>26</v>
      </c>
      <c r="F266" t="s">
        <v>144</v>
      </c>
      <c r="G266" t="s">
        <v>21</v>
      </c>
      <c r="H266" t="s">
        <v>14</v>
      </c>
      <c r="I266" t="s">
        <v>34</v>
      </c>
      <c r="J266" t="s">
        <v>90</v>
      </c>
      <c r="K266" t="s">
        <v>109</v>
      </c>
      <c r="L266" s="5">
        <v>45811</v>
      </c>
      <c r="M266" s="7">
        <v>0.88194444444444442</v>
      </c>
      <c r="N266" s="7">
        <v>0.2013888888888889</v>
      </c>
      <c r="O266" t="s">
        <v>145</v>
      </c>
      <c r="P266" t="s">
        <v>100</v>
      </c>
      <c r="Q266">
        <v>1450</v>
      </c>
      <c r="R266">
        <v>25.9</v>
      </c>
      <c r="S266" t="s">
        <v>94</v>
      </c>
      <c r="T266">
        <v>0</v>
      </c>
      <c r="U266" t="s">
        <v>107</v>
      </c>
      <c r="V266" t="s">
        <v>125</v>
      </c>
      <c r="W266">
        <v>11800</v>
      </c>
    </row>
    <row r="267" spans="1:23" x14ac:dyDescent="0.35">
      <c r="A267" t="s">
        <v>484</v>
      </c>
      <c r="B267" t="s">
        <v>222</v>
      </c>
      <c r="C267">
        <v>31</v>
      </c>
      <c r="D267" t="s">
        <v>18</v>
      </c>
      <c r="E267" t="s">
        <v>31</v>
      </c>
      <c r="F267" t="s">
        <v>148</v>
      </c>
      <c r="G267" t="s">
        <v>21</v>
      </c>
      <c r="H267" t="s">
        <v>15</v>
      </c>
      <c r="I267" t="s">
        <v>23</v>
      </c>
      <c r="J267" t="s">
        <v>91</v>
      </c>
      <c r="K267" t="s">
        <v>98</v>
      </c>
      <c r="L267" s="5">
        <v>45811</v>
      </c>
      <c r="M267" s="7">
        <v>0.18402777777777779</v>
      </c>
      <c r="N267" s="7">
        <v>0.33333333333333331</v>
      </c>
      <c r="O267" t="s">
        <v>149</v>
      </c>
      <c r="P267" t="s">
        <v>93</v>
      </c>
      <c r="Q267">
        <v>330</v>
      </c>
      <c r="R267">
        <v>13.5</v>
      </c>
      <c r="S267" t="s">
        <v>111</v>
      </c>
      <c r="T267">
        <v>0</v>
      </c>
      <c r="U267" t="s">
        <v>102</v>
      </c>
      <c r="V267" t="s">
        <v>112</v>
      </c>
      <c r="W267">
        <v>2100</v>
      </c>
    </row>
    <row r="268" spans="1:23" x14ac:dyDescent="0.35">
      <c r="A268" t="s">
        <v>485</v>
      </c>
      <c r="B268" t="s">
        <v>224</v>
      </c>
      <c r="C268">
        <v>44</v>
      </c>
      <c r="D268" t="s">
        <v>11</v>
      </c>
      <c r="E268" t="s">
        <v>12</v>
      </c>
      <c r="F268" s="11" t="s">
        <v>225</v>
      </c>
      <c r="G268" t="s">
        <v>13</v>
      </c>
      <c r="H268" t="s">
        <v>22</v>
      </c>
      <c r="I268" t="s">
        <v>57</v>
      </c>
      <c r="J268" t="s">
        <v>97</v>
      </c>
      <c r="K268" t="s">
        <v>121</v>
      </c>
      <c r="L268" s="5">
        <v>45812</v>
      </c>
      <c r="M268" s="7">
        <v>0.38194444444444442</v>
      </c>
      <c r="N268" s="7">
        <v>0.4861111111111111</v>
      </c>
      <c r="O268" t="s">
        <v>226</v>
      </c>
      <c r="P268" t="s">
        <v>93</v>
      </c>
      <c r="Q268">
        <v>125</v>
      </c>
      <c r="R268">
        <v>12</v>
      </c>
      <c r="S268" t="s">
        <v>94</v>
      </c>
      <c r="T268">
        <v>0</v>
      </c>
      <c r="U268" t="s">
        <v>95</v>
      </c>
      <c r="V268" t="s">
        <v>103</v>
      </c>
      <c r="W268">
        <v>2100</v>
      </c>
    </row>
    <row r="269" spans="1:23" x14ac:dyDescent="0.35">
      <c r="A269" t="s">
        <v>486</v>
      </c>
      <c r="B269" t="s">
        <v>30</v>
      </c>
      <c r="C269">
        <v>25</v>
      </c>
      <c r="D269" t="s">
        <v>18</v>
      </c>
      <c r="E269" t="s">
        <v>19</v>
      </c>
      <c r="F269" t="s">
        <v>20</v>
      </c>
      <c r="G269" t="s">
        <v>21</v>
      </c>
      <c r="H269" t="s">
        <v>15</v>
      </c>
      <c r="I269" t="s">
        <v>28</v>
      </c>
      <c r="J269" t="s">
        <v>91</v>
      </c>
      <c r="K269" t="s">
        <v>104</v>
      </c>
      <c r="L269" s="5">
        <v>45812</v>
      </c>
      <c r="M269" s="7">
        <v>5.2083333333333336E-2</v>
      </c>
      <c r="N269" s="7">
        <v>0.40972222222222221</v>
      </c>
      <c r="O269" t="s">
        <v>99</v>
      </c>
      <c r="P269" t="s">
        <v>100</v>
      </c>
      <c r="Q269">
        <v>860</v>
      </c>
      <c r="R269">
        <v>24</v>
      </c>
      <c r="S269" t="s">
        <v>101</v>
      </c>
      <c r="T269">
        <v>50</v>
      </c>
      <c r="U269" t="s">
        <v>102</v>
      </c>
      <c r="V269" t="s">
        <v>96</v>
      </c>
      <c r="W269">
        <v>8400</v>
      </c>
    </row>
    <row r="270" spans="1:23" x14ac:dyDescent="0.35">
      <c r="A270" t="s">
        <v>487</v>
      </c>
      <c r="B270" t="s">
        <v>197</v>
      </c>
      <c r="C270">
        <v>38</v>
      </c>
      <c r="D270" t="s">
        <v>11</v>
      </c>
      <c r="E270" t="s">
        <v>37</v>
      </c>
      <c r="F270" t="s">
        <v>38</v>
      </c>
      <c r="G270" t="s">
        <v>21</v>
      </c>
      <c r="H270" t="s">
        <v>39</v>
      </c>
      <c r="I270" t="s">
        <v>40</v>
      </c>
      <c r="J270" t="s">
        <v>113</v>
      </c>
      <c r="K270" t="s">
        <v>114</v>
      </c>
      <c r="L270" s="5">
        <v>45813</v>
      </c>
      <c r="M270" s="7">
        <v>0.91666666666666663</v>
      </c>
      <c r="N270" s="7">
        <v>0.57291666666666663</v>
      </c>
      <c r="O270" t="s">
        <v>115</v>
      </c>
      <c r="P270" t="s">
        <v>100</v>
      </c>
      <c r="Q270">
        <v>1980</v>
      </c>
      <c r="R270">
        <v>27.5</v>
      </c>
      <c r="S270" t="s">
        <v>94</v>
      </c>
      <c r="T270">
        <v>0</v>
      </c>
      <c r="U270" t="s">
        <v>102</v>
      </c>
      <c r="V270" t="s">
        <v>103</v>
      </c>
      <c r="W270">
        <v>9700</v>
      </c>
    </row>
    <row r="271" spans="1:23" x14ac:dyDescent="0.35">
      <c r="A271" t="s">
        <v>488</v>
      </c>
      <c r="B271" t="s">
        <v>42</v>
      </c>
      <c r="C271">
        <v>31</v>
      </c>
      <c r="D271" t="s">
        <v>18</v>
      </c>
      <c r="E271" t="s">
        <v>43</v>
      </c>
      <c r="F271" t="s">
        <v>44</v>
      </c>
      <c r="G271" t="s">
        <v>21</v>
      </c>
      <c r="H271" t="s">
        <v>15</v>
      </c>
      <c r="I271" t="s">
        <v>45</v>
      </c>
      <c r="J271" t="s">
        <v>91</v>
      </c>
      <c r="K271" t="s">
        <v>116</v>
      </c>
      <c r="L271" s="5">
        <v>45813</v>
      </c>
      <c r="M271" s="7">
        <v>0.15625</v>
      </c>
      <c r="N271" s="7">
        <v>0.47222222222222221</v>
      </c>
      <c r="O271" t="s">
        <v>117</v>
      </c>
      <c r="P271" t="s">
        <v>118</v>
      </c>
      <c r="Q271">
        <v>980</v>
      </c>
      <c r="R271">
        <v>19.3</v>
      </c>
      <c r="S271" t="s">
        <v>94</v>
      </c>
      <c r="T271">
        <v>0</v>
      </c>
      <c r="U271" t="s">
        <v>95</v>
      </c>
      <c r="V271" t="s">
        <v>96</v>
      </c>
      <c r="W271">
        <v>5400</v>
      </c>
    </row>
    <row r="272" spans="1:23" x14ac:dyDescent="0.35">
      <c r="A272" t="s">
        <v>489</v>
      </c>
      <c r="B272" t="s">
        <v>231</v>
      </c>
      <c r="C272">
        <v>35</v>
      </c>
      <c r="D272" t="s">
        <v>11</v>
      </c>
      <c r="E272" t="s">
        <v>26</v>
      </c>
      <c r="F272" t="s">
        <v>232</v>
      </c>
      <c r="G272" t="s">
        <v>21</v>
      </c>
      <c r="H272" t="s">
        <v>22</v>
      </c>
      <c r="I272" t="s">
        <v>28</v>
      </c>
      <c r="J272" t="s">
        <v>97</v>
      </c>
      <c r="K272" t="s">
        <v>104</v>
      </c>
      <c r="L272" s="5">
        <v>45814</v>
      </c>
      <c r="M272" s="7">
        <v>9.0277777777777776E-2</v>
      </c>
      <c r="N272" s="7">
        <v>0.36805555555555558</v>
      </c>
      <c r="O272" t="s">
        <v>119</v>
      </c>
      <c r="P272" t="s">
        <v>100</v>
      </c>
      <c r="Q272">
        <v>1800</v>
      </c>
      <c r="R272">
        <v>26.5</v>
      </c>
      <c r="S272" t="s">
        <v>94</v>
      </c>
      <c r="T272">
        <v>0</v>
      </c>
      <c r="U272" t="s">
        <v>107</v>
      </c>
      <c r="V272" t="s">
        <v>103</v>
      </c>
      <c r="W272">
        <v>12000</v>
      </c>
    </row>
    <row r="273" spans="1:23" x14ac:dyDescent="0.35">
      <c r="A273" t="s">
        <v>490</v>
      </c>
      <c r="B273" t="s">
        <v>234</v>
      </c>
      <c r="C273">
        <v>28</v>
      </c>
      <c r="D273" t="s">
        <v>18</v>
      </c>
      <c r="E273" t="s">
        <v>12</v>
      </c>
      <c r="F273" s="3" t="s">
        <v>235</v>
      </c>
      <c r="G273" t="s">
        <v>13</v>
      </c>
      <c r="H273" t="s">
        <v>14</v>
      </c>
      <c r="I273" t="s">
        <v>15</v>
      </c>
      <c r="J273" t="s">
        <v>90</v>
      </c>
      <c r="K273" t="s">
        <v>91</v>
      </c>
      <c r="L273" s="5">
        <v>45814</v>
      </c>
      <c r="M273" s="7">
        <v>0.28125</v>
      </c>
      <c r="N273" s="7">
        <v>0.3888888888888889</v>
      </c>
      <c r="O273" t="s">
        <v>236</v>
      </c>
      <c r="P273" t="s">
        <v>93</v>
      </c>
      <c r="Q273">
        <v>150</v>
      </c>
      <c r="R273">
        <v>11.2</v>
      </c>
      <c r="S273" t="s">
        <v>101</v>
      </c>
      <c r="T273">
        <v>30</v>
      </c>
      <c r="U273" t="s">
        <v>102</v>
      </c>
      <c r="V273" t="s">
        <v>96</v>
      </c>
      <c r="W273">
        <v>3200</v>
      </c>
    </row>
    <row r="274" spans="1:23" x14ac:dyDescent="0.35">
      <c r="A274" t="s">
        <v>491</v>
      </c>
      <c r="B274" t="s">
        <v>25</v>
      </c>
      <c r="C274">
        <v>41</v>
      </c>
      <c r="D274" t="s">
        <v>11</v>
      </c>
      <c r="E274" t="s">
        <v>26</v>
      </c>
      <c r="F274" t="s">
        <v>27</v>
      </c>
      <c r="G274" t="s">
        <v>21</v>
      </c>
      <c r="H274" t="s">
        <v>15</v>
      </c>
      <c r="I274" t="s">
        <v>28</v>
      </c>
      <c r="J274" t="s">
        <v>91</v>
      </c>
      <c r="K274" t="s">
        <v>104</v>
      </c>
      <c r="L274" s="5">
        <v>45815</v>
      </c>
      <c r="M274" s="7">
        <v>5.5555555555555552E-2</v>
      </c>
      <c r="N274" s="7">
        <v>0.41319444444444442</v>
      </c>
      <c r="O274" t="s">
        <v>105</v>
      </c>
      <c r="P274" t="s">
        <v>106</v>
      </c>
      <c r="Q274">
        <v>2450</v>
      </c>
      <c r="R274">
        <v>30.2</v>
      </c>
      <c r="S274" t="s">
        <v>94</v>
      </c>
      <c r="T274">
        <v>0</v>
      </c>
      <c r="U274" t="s">
        <v>107</v>
      </c>
      <c r="V274" t="s">
        <v>103</v>
      </c>
      <c r="W274">
        <v>13200</v>
      </c>
    </row>
    <row r="275" spans="1:23" x14ac:dyDescent="0.35">
      <c r="A275" t="s">
        <v>492</v>
      </c>
      <c r="B275" t="s">
        <v>30</v>
      </c>
      <c r="C275">
        <v>25</v>
      </c>
      <c r="D275" t="s">
        <v>18</v>
      </c>
      <c r="E275" t="s">
        <v>31</v>
      </c>
      <c r="F275" t="s">
        <v>32</v>
      </c>
      <c r="G275" t="s">
        <v>21</v>
      </c>
      <c r="H275" t="s">
        <v>33</v>
      </c>
      <c r="I275" t="s">
        <v>34</v>
      </c>
      <c r="J275" t="s">
        <v>108</v>
      </c>
      <c r="K275" t="s">
        <v>109</v>
      </c>
      <c r="L275" s="5">
        <v>45815</v>
      </c>
      <c r="M275" s="7">
        <v>0.34027777777777779</v>
      </c>
      <c r="N275" s="7">
        <v>0.58333333333333337</v>
      </c>
      <c r="O275" t="s">
        <v>110</v>
      </c>
      <c r="P275" t="s">
        <v>93</v>
      </c>
      <c r="Q275">
        <v>420</v>
      </c>
      <c r="R275">
        <v>15.6</v>
      </c>
      <c r="S275" t="s">
        <v>111</v>
      </c>
      <c r="T275">
        <v>0</v>
      </c>
      <c r="U275" t="s">
        <v>95</v>
      </c>
      <c r="V275" t="s">
        <v>112</v>
      </c>
      <c r="W275">
        <v>3500</v>
      </c>
    </row>
    <row r="276" spans="1:23" x14ac:dyDescent="0.35">
      <c r="A276" t="s">
        <v>493</v>
      </c>
      <c r="B276" t="s">
        <v>36</v>
      </c>
      <c r="C276">
        <v>38</v>
      </c>
      <c r="D276" t="s">
        <v>11</v>
      </c>
      <c r="E276" t="s">
        <v>37</v>
      </c>
      <c r="F276" t="s">
        <v>38</v>
      </c>
      <c r="G276" t="s">
        <v>21</v>
      </c>
      <c r="H276" t="s">
        <v>39</v>
      </c>
      <c r="I276" t="s">
        <v>40</v>
      </c>
      <c r="J276" t="s">
        <v>113</v>
      </c>
      <c r="K276" t="s">
        <v>114</v>
      </c>
      <c r="L276" s="5">
        <v>45816</v>
      </c>
      <c r="M276" s="7">
        <v>0.91666666666666663</v>
      </c>
      <c r="N276" s="7">
        <v>0.57291666666666663</v>
      </c>
      <c r="O276" t="s">
        <v>115</v>
      </c>
      <c r="P276" t="s">
        <v>100</v>
      </c>
      <c r="Q276">
        <v>1980</v>
      </c>
      <c r="R276">
        <v>27.5</v>
      </c>
      <c r="S276" t="s">
        <v>94</v>
      </c>
      <c r="T276">
        <v>0</v>
      </c>
      <c r="U276" t="s">
        <v>102</v>
      </c>
      <c r="V276" t="s">
        <v>103</v>
      </c>
      <c r="W276">
        <v>9700</v>
      </c>
    </row>
    <row r="277" spans="1:23" x14ac:dyDescent="0.35">
      <c r="A277" t="s">
        <v>494</v>
      </c>
      <c r="B277" t="s">
        <v>42</v>
      </c>
      <c r="C277">
        <v>31</v>
      </c>
      <c r="D277" t="s">
        <v>18</v>
      </c>
      <c r="E277" t="s">
        <v>43</v>
      </c>
      <c r="F277" t="s">
        <v>44</v>
      </c>
      <c r="G277" t="s">
        <v>21</v>
      </c>
      <c r="H277" t="s">
        <v>15</v>
      </c>
      <c r="I277" t="s">
        <v>45</v>
      </c>
      <c r="J277" t="s">
        <v>91</v>
      </c>
      <c r="K277" t="s">
        <v>116</v>
      </c>
      <c r="L277" s="5">
        <v>45816</v>
      </c>
      <c r="M277" s="7">
        <v>0.15625</v>
      </c>
      <c r="N277" s="7">
        <v>0.47222222222222221</v>
      </c>
      <c r="O277" t="s">
        <v>117</v>
      </c>
      <c r="P277" t="s">
        <v>118</v>
      </c>
      <c r="Q277">
        <v>980</v>
      </c>
      <c r="R277">
        <v>19.3</v>
      </c>
      <c r="S277" t="s">
        <v>101</v>
      </c>
      <c r="T277">
        <v>35</v>
      </c>
      <c r="U277" t="s">
        <v>95</v>
      </c>
      <c r="V277" t="s">
        <v>96</v>
      </c>
      <c r="W277">
        <v>5400</v>
      </c>
    </row>
    <row r="278" spans="1:23" x14ac:dyDescent="0.35">
      <c r="A278" t="s">
        <v>495</v>
      </c>
      <c r="B278" t="s">
        <v>47</v>
      </c>
      <c r="C278">
        <v>45</v>
      </c>
      <c r="D278" t="s">
        <v>11</v>
      </c>
      <c r="E278" t="s">
        <v>48</v>
      </c>
      <c r="F278" t="s">
        <v>49</v>
      </c>
      <c r="G278" t="s">
        <v>21</v>
      </c>
      <c r="H278" t="s">
        <v>14</v>
      </c>
      <c r="I278" t="s">
        <v>28</v>
      </c>
      <c r="J278" t="s">
        <v>90</v>
      </c>
      <c r="K278" t="s">
        <v>104</v>
      </c>
      <c r="L278" s="5">
        <v>45817</v>
      </c>
      <c r="M278" s="7">
        <v>0.42708333333333331</v>
      </c>
      <c r="N278" s="7">
        <v>0.77083333333333337</v>
      </c>
      <c r="O278" t="s">
        <v>119</v>
      </c>
      <c r="P278" t="s">
        <v>100</v>
      </c>
      <c r="Q278">
        <v>1650</v>
      </c>
      <c r="R278">
        <v>26.8</v>
      </c>
      <c r="S278" t="s">
        <v>94</v>
      </c>
      <c r="T278">
        <v>0</v>
      </c>
      <c r="U278" t="s">
        <v>107</v>
      </c>
      <c r="V278" t="s">
        <v>103</v>
      </c>
      <c r="W278">
        <v>11000</v>
      </c>
    </row>
    <row r="279" spans="1:23" x14ac:dyDescent="0.35">
      <c r="A279" t="s">
        <v>496</v>
      </c>
      <c r="B279" t="s">
        <v>51</v>
      </c>
      <c r="C279">
        <v>27</v>
      </c>
      <c r="D279" t="s">
        <v>18</v>
      </c>
      <c r="E279" t="s">
        <v>52</v>
      </c>
      <c r="F279" t="s">
        <v>53</v>
      </c>
      <c r="G279" t="s">
        <v>21</v>
      </c>
      <c r="H279" t="s">
        <v>22</v>
      </c>
      <c r="I279" t="s">
        <v>40</v>
      </c>
      <c r="J279" t="s">
        <v>97</v>
      </c>
      <c r="K279" t="s">
        <v>114</v>
      </c>
      <c r="L279" s="5">
        <v>45817</v>
      </c>
      <c r="M279" s="7">
        <v>0.24305555555555555</v>
      </c>
      <c r="N279" s="7">
        <v>0.72222222222222221</v>
      </c>
      <c r="O279" t="s">
        <v>120</v>
      </c>
      <c r="P279" t="s">
        <v>93</v>
      </c>
      <c r="Q279">
        <v>740</v>
      </c>
      <c r="R279">
        <v>17.2</v>
      </c>
      <c r="S279" t="s">
        <v>111</v>
      </c>
      <c r="T279">
        <v>0</v>
      </c>
      <c r="U279" t="s">
        <v>95</v>
      </c>
      <c r="V279" t="s">
        <v>96</v>
      </c>
      <c r="W279">
        <v>4100</v>
      </c>
    </row>
    <row r="280" spans="1:23" x14ac:dyDescent="0.35">
      <c r="A280" t="s">
        <v>497</v>
      </c>
      <c r="B280" t="s">
        <v>55</v>
      </c>
      <c r="C280">
        <v>36</v>
      </c>
      <c r="D280" t="s">
        <v>11</v>
      </c>
      <c r="E280" t="s">
        <v>12</v>
      </c>
      <c r="F280" s="3" t="s">
        <v>56</v>
      </c>
      <c r="G280" t="s">
        <v>13</v>
      </c>
      <c r="H280" t="s">
        <v>57</v>
      </c>
      <c r="I280" t="s">
        <v>33</v>
      </c>
      <c r="J280" t="s">
        <v>121</v>
      </c>
      <c r="K280" t="s">
        <v>108</v>
      </c>
      <c r="L280" s="5">
        <v>45818</v>
      </c>
      <c r="M280" s="7">
        <v>0.60069444444444442</v>
      </c>
      <c r="N280" s="7">
        <v>0.71527777777777779</v>
      </c>
      <c r="O280" t="s">
        <v>122</v>
      </c>
      <c r="P280" t="s">
        <v>93</v>
      </c>
      <c r="Q280">
        <v>125</v>
      </c>
      <c r="R280">
        <v>12</v>
      </c>
      <c r="S280" t="s">
        <v>94</v>
      </c>
      <c r="T280">
        <v>0</v>
      </c>
      <c r="U280" t="s">
        <v>102</v>
      </c>
      <c r="V280" t="s">
        <v>103</v>
      </c>
      <c r="W280">
        <v>1800</v>
      </c>
    </row>
    <row r="281" spans="1:23" x14ac:dyDescent="0.35">
      <c r="A281" t="s">
        <v>498</v>
      </c>
      <c r="B281" t="s">
        <v>59</v>
      </c>
      <c r="C281">
        <v>30</v>
      </c>
      <c r="D281" t="s">
        <v>18</v>
      </c>
      <c r="E281" t="s">
        <v>19</v>
      </c>
      <c r="F281" t="s">
        <v>60</v>
      </c>
      <c r="G281" t="s">
        <v>13</v>
      </c>
      <c r="H281" t="s">
        <v>15</v>
      </c>
      <c r="I281" t="s">
        <v>14</v>
      </c>
      <c r="J281" t="s">
        <v>91</v>
      </c>
      <c r="K281" t="s">
        <v>90</v>
      </c>
      <c r="L281" s="5">
        <v>45818</v>
      </c>
      <c r="M281" s="7">
        <v>0.40277777777777779</v>
      </c>
      <c r="N281" s="7">
        <v>0.51736111111111116</v>
      </c>
      <c r="O281" t="s">
        <v>123</v>
      </c>
      <c r="P281" t="s">
        <v>118</v>
      </c>
      <c r="Q281">
        <v>310</v>
      </c>
      <c r="R281">
        <v>20.5</v>
      </c>
      <c r="S281" t="s">
        <v>101</v>
      </c>
      <c r="T281">
        <v>35</v>
      </c>
      <c r="U281" t="s">
        <v>95</v>
      </c>
      <c r="V281" t="s">
        <v>96</v>
      </c>
      <c r="W281">
        <v>6200</v>
      </c>
    </row>
    <row r="282" spans="1:23" x14ac:dyDescent="0.35">
      <c r="A282" t="s">
        <v>499</v>
      </c>
      <c r="B282" t="s">
        <v>62</v>
      </c>
      <c r="C282">
        <v>52</v>
      </c>
      <c r="D282" t="s">
        <v>11</v>
      </c>
      <c r="E282" t="s">
        <v>26</v>
      </c>
      <c r="F282" t="s">
        <v>63</v>
      </c>
      <c r="G282" t="s">
        <v>21</v>
      </c>
      <c r="H282" t="s">
        <v>22</v>
      </c>
      <c r="I282" t="s">
        <v>23</v>
      </c>
      <c r="J282" t="s">
        <v>97</v>
      </c>
      <c r="K282" t="s">
        <v>98</v>
      </c>
      <c r="L282" s="5">
        <v>45819</v>
      </c>
      <c r="M282" s="7">
        <v>0.96875</v>
      </c>
      <c r="N282" s="7">
        <v>0.12152777777777778</v>
      </c>
      <c r="O282" t="s">
        <v>124</v>
      </c>
      <c r="P282" t="s">
        <v>100</v>
      </c>
      <c r="Q282">
        <v>1200</v>
      </c>
      <c r="R282">
        <v>28</v>
      </c>
      <c r="S282" t="s">
        <v>94</v>
      </c>
      <c r="T282">
        <v>0</v>
      </c>
      <c r="U282" t="s">
        <v>107</v>
      </c>
      <c r="V282" t="s">
        <v>125</v>
      </c>
      <c r="W282">
        <v>14000</v>
      </c>
    </row>
    <row r="283" spans="1:23" x14ac:dyDescent="0.35">
      <c r="A283" t="s">
        <v>500</v>
      </c>
      <c r="B283" t="s">
        <v>65</v>
      </c>
      <c r="C283">
        <v>24</v>
      </c>
      <c r="D283" t="s">
        <v>18</v>
      </c>
      <c r="E283" t="s">
        <v>12</v>
      </c>
      <c r="F283" s="3" t="s">
        <v>66</v>
      </c>
      <c r="G283" t="s">
        <v>13</v>
      </c>
      <c r="H283" t="s">
        <v>39</v>
      </c>
      <c r="I283" t="s">
        <v>15</v>
      </c>
      <c r="J283" t="s">
        <v>113</v>
      </c>
      <c r="K283" t="s">
        <v>91</v>
      </c>
      <c r="L283" s="5">
        <v>45819</v>
      </c>
      <c r="M283" s="7">
        <v>0.25694444444444442</v>
      </c>
      <c r="N283" s="7">
        <v>0.3611111111111111</v>
      </c>
      <c r="O283" t="s">
        <v>126</v>
      </c>
      <c r="P283" t="s">
        <v>93</v>
      </c>
      <c r="Q283">
        <v>160</v>
      </c>
      <c r="R283">
        <v>10.4</v>
      </c>
      <c r="S283" t="s">
        <v>111</v>
      </c>
      <c r="T283">
        <v>0</v>
      </c>
      <c r="U283" t="s">
        <v>102</v>
      </c>
      <c r="V283" t="s">
        <v>112</v>
      </c>
      <c r="W283">
        <v>900</v>
      </c>
    </row>
    <row r="284" spans="1:23" x14ac:dyDescent="0.35">
      <c r="A284" t="s">
        <v>501</v>
      </c>
      <c r="B284" t="s">
        <v>68</v>
      </c>
      <c r="C284">
        <v>40</v>
      </c>
      <c r="D284" t="s">
        <v>11</v>
      </c>
      <c r="E284" t="s">
        <v>37</v>
      </c>
      <c r="F284" t="s">
        <v>69</v>
      </c>
      <c r="G284" t="s">
        <v>21</v>
      </c>
      <c r="H284" t="s">
        <v>33</v>
      </c>
      <c r="I284" t="s">
        <v>34</v>
      </c>
      <c r="J284" t="s">
        <v>108</v>
      </c>
      <c r="K284" t="s">
        <v>109</v>
      </c>
      <c r="L284" s="5">
        <v>45820</v>
      </c>
      <c r="M284" s="7">
        <v>0.84722222222222221</v>
      </c>
      <c r="N284" s="7">
        <v>9.0277777777777776E-2</v>
      </c>
      <c r="O284" t="s">
        <v>127</v>
      </c>
      <c r="P284" t="s">
        <v>100</v>
      </c>
      <c r="Q284">
        <v>1340</v>
      </c>
      <c r="R284">
        <v>22.6</v>
      </c>
      <c r="S284" t="s">
        <v>94</v>
      </c>
      <c r="T284">
        <v>0</v>
      </c>
      <c r="U284" t="s">
        <v>95</v>
      </c>
      <c r="V284" t="s">
        <v>103</v>
      </c>
      <c r="W284">
        <v>8700</v>
      </c>
    </row>
    <row r="285" spans="1:23" x14ac:dyDescent="0.35">
      <c r="A285" t="s">
        <v>502</v>
      </c>
      <c r="B285" t="s">
        <v>71</v>
      </c>
      <c r="C285">
        <v>33</v>
      </c>
      <c r="D285" t="s">
        <v>18</v>
      </c>
      <c r="E285" t="s">
        <v>43</v>
      </c>
      <c r="F285" t="s">
        <v>72</v>
      </c>
      <c r="G285" t="s">
        <v>21</v>
      </c>
      <c r="H285" t="s">
        <v>15</v>
      </c>
      <c r="I285" t="s">
        <v>40</v>
      </c>
      <c r="J285" t="s">
        <v>91</v>
      </c>
      <c r="K285" t="s">
        <v>114</v>
      </c>
      <c r="L285" s="5">
        <v>45820</v>
      </c>
      <c r="M285" s="7">
        <v>0.11805555555555555</v>
      </c>
      <c r="N285" s="7">
        <v>0.64583333333333337</v>
      </c>
      <c r="O285" t="s">
        <v>128</v>
      </c>
      <c r="P285" t="s">
        <v>106</v>
      </c>
      <c r="Q285">
        <v>2600</v>
      </c>
      <c r="R285">
        <v>31.4</v>
      </c>
      <c r="S285" t="s">
        <v>101</v>
      </c>
      <c r="T285">
        <v>90</v>
      </c>
      <c r="U285" t="s">
        <v>107</v>
      </c>
      <c r="V285" t="s">
        <v>96</v>
      </c>
      <c r="W285">
        <v>15000</v>
      </c>
    </row>
    <row r="286" spans="1:23" x14ac:dyDescent="0.35">
      <c r="A286" t="s">
        <v>503</v>
      </c>
      <c r="B286" t="s">
        <v>74</v>
      </c>
      <c r="C286">
        <v>47</v>
      </c>
      <c r="D286" t="s">
        <v>11</v>
      </c>
      <c r="E286" t="s">
        <v>19</v>
      </c>
      <c r="F286" t="s">
        <v>75</v>
      </c>
      <c r="G286" t="s">
        <v>21</v>
      </c>
      <c r="H286" t="s">
        <v>14</v>
      </c>
      <c r="I286" t="s">
        <v>23</v>
      </c>
      <c r="J286" t="s">
        <v>90</v>
      </c>
      <c r="K286" t="s">
        <v>98</v>
      </c>
      <c r="L286" s="5">
        <v>45821</v>
      </c>
      <c r="M286" s="7">
        <v>0.54513888888888884</v>
      </c>
      <c r="N286" s="7">
        <v>0.71875</v>
      </c>
      <c r="O286" t="s">
        <v>129</v>
      </c>
      <c r="P286" t="s">
        <v>93</v>
      </c>
      <c r="Q286">
        <v>390</v>
      </c>
      <c r="R286">
        <v>16.100000000000001</v>
      </c>
      <c r="S286" t="s">
        <v>94</v>
      </c>
      <c r="T286">
        <v>0</v>
      </c>
      <c r="U286" t="s">
        <v>95</v>
      </c>
      <c r="V286" t="s">
        <v>103</v>
      </c>
      <c r="W286">
        <v>3000</v>
      </c>
    </row>
    <row r="287" spans="1:23" x14ac:dyDescent="0.35">
      <c r="A287" t="s">
        <v>504</v>
      </c>
      <c r="B287" t="s">
        <v>131</v>
      </c>
      <c r="C287">
        <v>28</v>
      </c>
      <c r="D287" t="s">
        <v>18</v>
      </c>
      <c r="E287" t="s">
        <v>52</v>
      </c>
      <c r="F287" t="s">
        <v>132</v>
      </c>
      <c r="G287" t="s">
        <v>21</v>
      </c>
      <c r="H287" t="s">
        <v>33</v>
      </c>
      <c r="I287" t="s">
        <v>28</v>
      </c>
      <c r="J287" t="s">
        <v>108</v>
      </c>
      <c r="K287" t="s">
        <v>104</v>
      </c>
      <c r="L287" s="5">
        <v>45821</v>
      </c>
      <c r="M287" s="7">
        <v>0.32291666666666669</v>
      </c>
      <c r="N287" s="7">
        <v>0.75694444444444442</v>
      </c>
      <c r="O287" t="s">
        <v>133</v>
      </c>
      <c r="P287" t="s">
        <v>118</v>
      </c>
      <c r="Q287">
        <v>980</v>
      </c>
      <c r="R287">
        <v>21</v>
      </c>
      <c r="S287" t="s">
        <v>111</v>
      </c>
      <c r="T287">
        <v>0</v>
      </c>
      <c r="U287" t="s">
        <v>102</v>
      </c>
      <c r="V287" t="s">
        <v>96</v>
      </c>
      <c r="W287">
        <v>7200</v>
      </c>
    </row>
    <row r="288" spans="1:23" x14ac:dyDescent="0.35">
      <c r="A288" t="s">
        <v>505</v>
      </c>
      <c r="B288" t="s">
        <v>135</v>
      </c>
      <c r="C288">
        <v>39</v>
      </c>
      <c r="D288" t="s">
        <v>11</v>
      </c>
      <c r="E288" t="s">
        <v>12</v>
      </c>
      <c r="F288" s="3" t="s">
        <v>136</v>
      </c>
      <c r="G288" t="s">
        <v>13</v>
      </c>
      <c r="H288" t="s">
        <v>15</v>
      </c>
      <c r="I288" t="s">
        <v>22</v>
      </c>
      <c r="J288" t="s">
        <v>91</v>
      </c>
      <c r="K288" t="s">
        <v>97</v>
      </c>
      <c r="L288" s="5">
        <v>45822</v>
      </c>
      <c r="M288" s="7">
        <v>0.47916666666666669</v>
      </c>
      <c r="N288" s="7">
        <v>0.56944444444444442</v>
      </c>
      <c r="O288" t="s">
        <v>137</v>
      </c>
      <c r="P288" t="s">
        <v>93</v>
      </c>
      <c r="Q288">
        <v>110</v>
      </c>
      <c r="R288">
        <v>8.6</v>
      </c>
      <c r="S288" t="s">
        <v>94</v>
      </c>
      <c r="T288">
        <v>0</v>
      </c>
      <c r="U288" t="s">
        <v>95</v>
      </c>
      <c r="V288" t="s">
        <v>103</v>
      </c>
      <c r="W288">
        <v>1500</v>
      </c>
    </row>
    <row r="289" spans="1:23" x14ac:dyDescent="0.35">
      <c r="A289" t="s">
        <v>506</v>
      </c>
      <c r="B289" t="s">
        <v>139</v>
      </c>
      <c r="C289">
        <v>26</v>
      </c>
      <c r="D289" t="s">
        <v>18</v>
      </c>
      <c r="E289" t="s">
        <v>19</v>
      </c>
      <c r="F289" t="s">
        <v>140</v>
      </c>
      <c r="G289" t="s">
        <v>13</v>
      </c>
      <c r="H289" t="s">
        <v>57</v>
      </c>
      <c r="I289" t="s">
        <v>39</v>
      </c>
      <c r="J289" t="s">
        <v>121</v>
      </c>
      <c r="K289" t="s">
        <v>113</v>
      </c>
      <c r="L289" s="5">
        <v>45822</v>
      </c>
      <c r="M289" s="7">
        <v>0.66666666666666663</v>
      </c>
      <c r="N289" s="7">
        <v>0.76736111111111116</v>
      </c>
      <c r="O289" t="s">
        <v>141</v>
      </c>
      <c r="P289" t="s">
        <v>93</v>
      </c>
      <c r="Q289">
        <v>140</v>
      </c>
      <c r="R289">
        <v>11.2</v>
      </c>
      <c r="S289" t="s">
        <v>101</v>
      </c>
      <c r="T289">
        <v>20</v>
      </c>
      <c r="U289" t="s">
        <v>95</v>
      </c>
      <c r="V289" t="s">
        <v>96</v>
      </c>
      <c r="W289">
        <v>2700</v>
      </c>
    </row>
    <row r="290" spans="1:23" x14ac:dyDescent="0.35">
      <c r="A290" t="s">
        <v>507</v>
      </c>
      <c r="B290" t="s">
        <v>143</v>
      </c>
      <c r="C290">
        <v>50</v>
      </c>
      <c r="D290" t="s">
        <v>11</v>
      </c>
      <c r="E290" t="s">
        <v>26</v>
      </c>
      <c r="F290" t="s">
        <v>144</v>
      </c>
      <c r="G290" t="s">
        <v>21</v>
      </c>
      <c r="H290" t="s">
        <v>14</v>
      </c>
      <c r="I290" t="s">
        <v>34</v>
      </c>
      <c r="J290" t="s">
        <v>90</v>
      </c>
      <c r="K290" t="s">
        <v>109</v>
      </c>
      <c r="L290" s="5">
        <v>45823</v>
      </c>
      <c r="M290" s="7">
        <v>0.88194444444444442</v>
      </c>
      <c r="N290" s="7">
        <v>0.2013888888888889</v>
      </c>
      <c r="O290" t="s">
        <v>145</v>
      </c>
      <c r="P290" t="s">
        <v>100</v>
      </c>
      <c r="Q290">
        <v>1450</v>
      </c>
      <c r="R290">
        <v>25.9</v>
      </c>
      <c r="S290" t="s">
        <v>94</v>
      </c>
      <c r="T290">
        <v>0</v>
      </c>
      <c r="U290" t="s">
        <v>107</v>
      </c>
      <c r="V290" t="s">
        <v>125</v>
      </c>
      <c r="W290">
        <v>11800</v>
      </c>
    </row>
    <row r="291" spans="1:23" x14ac:dyDescent="0.35">
      <c r="A291" t="s">
        <v>508</v>
      </c>
      <c r="B291" t="s">
        <v>222</v>
      </c>
      <c r="C291">
        <v>31</v>
      </c>
      <c r="D291" t="s">
        <v>18</v>
      </c>
      <c r="E291" t="s">
        <v>31</v>
      </c>
      <c r="F291" t="s">
        <v>148</v>
      </c>
      <c r="G291" t="s">
        <v>21</v>
      </c>
      <c r="H291" t="s">
        <v>15</v>
      </c>
      <c r="I291" t="s">
        <v>23</v>
      </c>
      <c r="J291" t="s">
        <v>91</v>
      </c>
      <c r="K291" t="s">
        <v>98</v>
      </c>
      <c r="L291" s="5">
        <v>45823</v>
      </c>
      <c r="M291" s="7">
        <v>0.18402777777777779</v>
      </c>
      <c r="N291" s="7">
        <v>0.33333333333333331</v>
      </c>
      <c r="O291" t="s">
        <v>149</v>
      </c>
      <c r="P291" t="s">
        <v>93</v>
      </c>
      <c r="Q291">
        <v>330</v>
      </c>
      <c r="R291">
        <v>13.5</v>
      </c>
      <c r="S291" t="s">
        <v>111</v>
      </c>
      <c r="T291">
        <v>0</v>
      </c>
      <c r="U291" t="s">
        <v>102</v>
      </c>
      <c r="V291" t="s">
        <v>112</v>
      </c>
      <c r="W291">
        <v>2100</v>
      </c>
    </row>
    <row r="292" spans="1:23" x14ac:dyDescent="0.35">
      <c r="A292" t="s">
        <v>509</v>
      </c>
      <c r="B292" t="s">
        <v>224</v>
      </c>
      <c r="C292">
        <v>44</v>
      </c>
      <c r="D292" t="s">
        <v>11</v>
      </c>
      <c r="E292" t="s">
        <v>12</v>
      </c>
      <c r="F292" s="11" t="s">
        <v>225</v>
      </c>
      <c r="G292" t="s">
        <v>13</v>
      </c>
      <c r="H292" t="s">
        <v>22</v>
      </c>
      <c r="I292" t="s">
        <v>57</v>
      </c>
      <c r="J292" t="s">
        <v>97</v>
      </c>
      <c r="K292" t="s">
        <v>121</v>
      </c>
      <c r="L292" s="5">
        <v>45824</v>
      </c>
      <c r="M292" s="7">
        <v>0.38194444444444442</v>
      </c>
      <c r="N292" s="7">
        <v>0.4861111111111111</v>
      </c>
      <c r="O292" t="s">
        <v>226</v>
      </c>
      <c r="P292" t="s">
        <v>93</v>
      </c>
      <c r="Q292">
        <v>125</v>
      </c>
      <c r="R292">
        <v>12</v>
      </c>
      <c r="S292" t="s">
        <v>94</v>
      </c>
      <c r="T292">
        <v>0</v>
      </c>
      <c r="U292" t="s">
        <v>95</v>
      </c>
      <c r="V292" t="s">
        <v>103</v>
      </c>
      <c r="W292">
        <v>2100</v>
      </c>
    </row>
    <row r="293" spans="1:23" x14ac:dyDescent="0.35">
      <c r="A293" t="s">
        <v>510</v>
      </c>
      <c r="B293" t="s">
        <v>30</v>
      </c>
      <c r="C293">
        <v>25</v>
      </c>
      <c r="D293" t="s">
        <v>18</v>
      </c>
      <c r="E293" t="s">
        <v>19</v>
      </c>
      <c r="F293" t="s">
        <v>20</v>
      </c>
      <c r="G293" t="s">
        <v>21</v>
      </c>
      <c r="H293" t="s">
        <v>15</v>
      </c>
      <c r="I293" t="s">
        <v>28</v>
      </c>
      <c r="J293" t="s">
        <v>91</v>
      </c>
      <c r="K293" t="s">
        <v>104</v>
      </c>
      <c r="L293" s="5">
        <v>45824</v>
      </c>
      <c r="M293" s="7">
        <v>5.2083333333333336E-2</v>
      </c>
      <c r="N293" s="7">
        <v>0.40972222222222221</v>
      </c>
      <c r="O293" t="s">
        <v>99</v>
      </c>
      <c r="P293" t="s">
        <v>100</v>
      </c>
      <c r="Q293">
        <v>860</v>
      </c>
      <c r="R293">
        <v>24</v>
      </c>
      <c r="S293" t="s">
        <v>101</v>
      </c>
      <c r="T293">
        <v>50</v>
      </c>
      <c r="U293" t="s">
        <v>102</v>
      </c>
      <c r="V293" t="s">
        <v>96</v>
      </c>
      <c r="W293">
        <v>8400</v>
      </c>
    </row>
    <row r="294" spans="1:23" x14ac:dyDescent="0.35">
      <c r="A294" t="s">
        <v>511</v>
      </c>
      <c r="B294" t="s">
        <v>197</v>
      </c>
      <c r="C294">
        <v>38</v>
      </c>
      <c r="D294" t="s">
        <v>11</v>
      </c>
      <c r="E294" t="s">
        <v>37</v>
      </c>
      <c r="F294" t="s">
        <v>38</v>
      </c>
      <c r="G294" t="s">
        <v>21</v>
      </c>
      <c r="H294" t="s">
        <v>39</v>
      </c>
      <c r="I294" t="s">
        <v>40</v>
      </c>
      <c r="J294" t="s">
        <v>113</v>
      </c>
      <c r="K294" t="s">
        <v>114</v>
      </c>
      <c r="L294" s="5">
        <v>45825</v>
      </c>
      <c r="M294" s="7">
        <v>0.91666666666666663</v>
      </c>
      <c r="N294" s="7">
        <v>0.57291666666666663</v>
      </c>
      <c r="O294" t="s">
        <v>115</v>
      </c>
      <c r="P294" t="s">
        <v>100</v>
      </c>
      <c r="Q294">
        <v>1980</v>
      </c>
      <c r="R294">
        <v>27.5</v>
      </c>
      <c r="S294" t="s">
        <v>94</v>
      </c>
      <c r="T294">
        <v>0</v>
      </c>
      <c r="U294" t="s">
        <v>102</v>
      </c>
      <c r="V294" t="s">
        <v>103</v>
      </c>
      <c r="W294">
        <v>9700</v>
      </c>
    </row>
    <row r="295" spans="1:23" x14ac:dyDescent="0.35">
      <c r="A295" t="s">
        <v>512</v>
      </c>
      <c r="B295" t="s">
        <v>42</v>
      </c>
      <c r="C295">
        <v>31</v>
      </c>
      <c r="D295" t="s">
        <v>18</v>
      </c>
      <c r="E295" t="s">
        <v>43</v>
      </c>
      <c r="F295" t="s">
        <v>44</v>
      </c>
      <c r="G295" t="s">
        <v>21</v>
      </c>
      <c r="H295" t="s">
        <v>15</v>
      </c>
      <c r="I295" t="s">
        <v>45</v>
      </c>
      <c r="J295" t="s">
        <v>91</v>
      </c>
      <c r="K295" t="s">
        <v>116</v>
      </c>
      <c r="L295" s="5">
        <v>45825</v>
      </c>
      <c r="M295" s="7">
        <v>0.15625</v>
      </c>
      <c r="N295" s="7">
        <v>0.47222222222222221</v>
      </c>
      <c r="O295" t="s">
        <v>117</v>
      </c>
      <c r="P295" t="s">
        <v>118</v>
      </c>
      <c r="Q295">
        <v>980</v>
      </c>
      <c r="R295">
        <v>19.3</v>
      </c>
      <c r="S295" t="s">
        <v>94</v>
      </c>
      <c r="T295">
        <v>0</v>
      </c>
      <c r="U295" t="s">
        <v>95</v>
      </c>
      <c r="V295" t="s">
        <v>96</v>
      </c>
      <c r="W295">
        <v>5400</v>
      </c>
    </row>
    <row r="296" spans="1:23" x14ac:dyDescent="0.35">
      <c r="A296" t="s">
        <v>513</v>
      </c>
      <c r="B296" t="s">
        <v>231</v>
      </c>
      <c r="C296">
        <v>35</v>
      </c>
      <c r="D296" t="s">
        <v>11</v>
      </c>
      <c r="E296" t="s">
        <v>26</v>
      </c>
      <c r="F296" t="s">
        <v>232</v>
      </c>
      <c r="G296" t="s">
        <v>21</v>
      </c>
      <c r="H296" t="s">
        <v>22</v>
      </c>
      <c r="I296" t="s">
        <v>28</v>
      </c>
      <c r="J296" t="s">
        <v>97</v>
      </c>
      <c r="K296" t="s">
        <v>104</v>
      </c>
      <c r="L296" s="5">
        <v>45826</v>
      </c>
      <c r="M296" s="7">
        <v>9.0277777777777776E-2</v>
      </c>
      <c r="N296" s="7">
        <v>0.36805555555555558</v>
      </c>
      <c r="O296" t="s">
        <v>119</v>
      </c>
      <c r="P296" t="s">
        <v>100</v>
      </c>
      <c r="Q296">
        <v>1800</v>
      </c>
      <c r="R296">
        <v>26.5</v>
      </c>
      <c r="S296" t="s">
        <v>94</v>
      </c>
      <c r="T296">
        <v>0</v>
      </c>
      <c r="U296" t="s">
        <v>107</v>
      </c>
      <c r="V296" t="s">
        <v>103</v>
      </c>
      <c r="W296">
        <v>12000</v>
      </c>
    </row>
    <row r="297" spans="1:23" x14ac:dyDescent="0.35">
      <c r="A297" t="s">
        <v>514</v>
      </c>
      <c r="B297" t="s">
        <v>234</v>
      </c>
      <c r="C297">
        <v>28</v>
      </c>
      <c r="D297" t="s">
        <v>18</v>
      </c>
      <c r="E297" t="s">
        <v>12</v>
      </c>
      <c r="F297" s="3" t="s">
        <v>235</v>
      </c>
      <c r="G297" t="s">
        <v>13</v>
      </c>
      <c r="H297" t="s">
        <v>14</v>
      </c>
      <c r="I297" t="s">
        <v>15</v>
      </c>
      <c r="J297" t="s">
        <v>90</v>
      </c>
      <c r="K297" t="s">
        <v>91</v>
      </c>
      <c r="L297" s="5">
        <v>45826</v>
      </c>
      <c r="M297" s="7">
        <v>0.28125</v>
      </c>
      <c r="N297" s="7">
        <v>0.3888888888888889</v>
      </c>
      <c r="O297" t="s">
        <v>236</v>
      </c>
      <c r="P297" t="s">
        <v>93</v>
      </c>
      <c r="Q297">
        <v>150</v>
      </c>
      <c r="R297">
        <v>11.2</v>
      </c>
      <c r="S297" t="s">
        <v>101</v>
      </c>
      <c r="T297">
        <v>30</v>
      </c>
      <c r="U297" t="s">
        <v>102</v>
      </c>
      <c r="V297" t="s">
        <v>96</v>
      </c>
      <c r="W297">
        <v>3200</v>
      </c>
    </row>
    <row r="298" spans="1:23" x14ac:dyDescent="0.35">
      <c r="A298" t="s">
        <v>515</v>
      </c>
      <c r="B298" t="s">
        <v>25</v>
      </c>
      <c r="C298">
        <v>41</v>
      </c>
      <c r="D298" t="s">
        <v>11</v>
      </c>
      <c r="E298" t="s">
        <v>26</v>
      </c>
      <c r="F298" t="s">
        <v>27</v>
      </c>
      <c r="G298" t="s">
        <v>21</v>
      </c>
      <c r="H298" t="s">
        <v>15</v>
      </c>
      <c r="I298" t="s">
        <v>28</v>
      </c>
      <c r="J298" t="s">
        <v>91</v>
      </c>
      <c r="K298" t="s">
        <v>104</v>
      </c>
      <c r="L298" s="5">
        <v>45827</v>
      </c>
      <c r="M298" s="7">
        <v>5.5555555555555552E-2</v>
      </c>
      <c r="N298" s="7">
        <v>0.41319444444444442</v>
      </c>
      <c r="O298" t="s">
        <v>105</v>
      </c>
      <c r="P298" t="s">
        <v>106</v>
      </c>
      <c r="Q298">
        <v>2450</v>
      </c>
      <c r="R298">
        <v>30.2</v>
      </c>
      <c r="S298" t="s">
        <v>94</v>
      </c>
      <c r="T298">
        <v>0</v>
      </c>
      <c r="U298" t="s">
        <v>107</v>
      </c>
      <c r="V298" t="s">
        <v>103</v>
      </c>
      <c r="W298">
        <v>13200</v>
      </c>
    </row>
    <row r="299" spans="1:23" x14ac:dyDescent="0.35">
      <c r="A299" t="s">
        <v>516</v>
      </c>
      <c r="B299" t="s">
        <v>30</v>
      </c>
      <c r="C299">
        <v>25</v>
      </c>
      <c r="D299" t="s">
        <v>18</v>
      </c>
      <c r="E299" t="s">
        <v>31</v>
      </c>
      <c r="F299" t="s">
        <v>32</v>
      </c>
      <c r="G299" t="s">
        <v>21</v>
      </c>
      <c r="H299" t="s">
        <v>33</v>
      </c>
      <c r="I299" t="s">
        <v>34</v>
      </c>
      <c r="J299" t="s">
        <v>108</v>
      </c>
      <c r="K299" t="s">
        <v>109</v>
      </c>
      <c r="L299" s="5">
        <v>45827</v>
      </c>
      <c r="M299" s="7">
        <v>0.34027777777777779</v>
      </c>
      <c r="N299" s="7">
        <v>0.58333333333333337</v>
      </c>
      <c r="O299" t="s">
        <v>110</v>
      </c>
      <c r="P299" t="s">
        <v>93</v>
      </c>
      <c r="Q299">
        <v>420</v>
      </c>
      <c r="R299">
        <v>15.6</v>
      </c>
      <c r="S299" t="s">
        <v>111</v>
      </c>
      <c r="T299">
        <v>0</v>
      </c>
      <c r="U299" t="s">
        <v>95</v>
      </c>
      <c r="V299" t="s">
        <v>112</v>
      </c>
      <c r="W299">
        <v>3500</v>
      </c>
    </row>
    <row r="300" spans="1:23" x14ac:dyDescent="0.35">
      <c r="A300" t="s">
        <v>517</v>
      </c>
      <c r="B300" t="s">
        <v>36</v>
      </c>
      <c r="C300">
        <v>38</v>
      </c>
      <c r="D300" t="s">
        <v>11</v>
      </c>
      <c r="E300" t="s">
        <v>37</v>
      </c>
      <c r="F300" t="s">
        <v>38</v>
      </c>
      <c r="G300" t="s">
        <v>21</v>
      </c>
      <c r="H300" t="s">
        <v>39</v>
      </c>
      <c r="I300" t="s">
        <v>40</v>
      </c>
      <c r="J300" t="s">
        <v>113</v>
      </c>
      <c r="K300" t="s">
        <v>114</v>
      </c>
      <c r="L300" s="5">
        <v>45828</v>
      </c>
      <c r="M300" s="7">
        <v>0.91666666666666663</v>
      </c>
      <c r="N300" s="7">
        <v>0.57291666666666663</v>
      </c>
      <c r="O300" t="s">
        <v>115</v>
      </c>
      <c r="P300" t="s">
        <v>100</v>
      </c>
      <c r="Q300">
        <v>1980</v>
      </c>
      <c r="R300">
        <v>27.5</v>
      </c>
      <c r="S300" t="s">
        <v>94</v>
      </c>
      <c r="T300">
        <v>0</v>
      </c>
      <c r="U300" t="s">
        <v>102</v>
      </c>
      <c r="V300" t="s">
        <v>103</v>
      </c>
      <c r="W300">
        <v>9700</v>
      </c>
    </row>
    <row r="301" spans="1:23" x14ac:dyDescent="0.35">
      <c r="A301" t="s">
        <v>518</v>
      </c>
      <c r="B301" t="s">
        <v>42</v>
      </c>
      <c r="C301">
        <v>31</v>
      </c>
      <c r="D301" t="s">
        <v>18</v>
      </c>
      <c r="E301" t="s">
        <v>43</v>
      </c>
      <c r="F301" t="s">
        <v>44</v>
      </c>
      <c r="G301" t="s">
        <v>21</v>
      </c>
      <c r="H301" t="s">
        <v>15</v>
      </c>
      <c r="I301" t="s">
        <v>45</v>
      </c>
      <c r="J301" t="s">
        <v>91</v>
      </c>
      <c r="K301" t="s">
        <v>116</v>
      </c>
      <c r="L301" s="5">
        <v>45828</v>
      </c>
      <c r="M301" s="7">
        <v>0.15625</v>
      </c>
      <c r="N301" s="7">
        <v>0.47222222222222221</v>
      </c>
      <c r="O301" t="s">
        <v>117</v>
      </c>
      <c r="P301" t="s">
        <v>118</v>
      </c>
      <c r="Q301">
        <v>980</v>
      </c>
      <c r="R301">
        <v>19.3</v>
      </c>
      <c r="S301" t="s">
        <v>101</v>
      </c>
      <c r="T301">
        <v>35</v>
      </c>
      <c r="U301" t="s">
        <v>95</v>
      </c>
      <c r="V301" t="s">
        <v>96</v>
      </c>
      <c r="W301">
        <v>5400</v>
      </c>
    </row>
    <row r="302" spans="1:23" x14ac:dyDescent="0.35">
      <c r="A302" t="s">
        <v>519</v>
      </c>
      <c r="B302" t="s">
        <v>25</v>
      </c>
      <c r="C302">
        <v>41</v>
      </c>
      <c r="D302" t="s">
        <v>11</v>
      </c>
      <c r="E302" t="s">
        <v>26</v>
      </c>
      <c r="F302" t="s">
        <v>27</v>
      </c>
      <c r="G302" t="s">
        <v>21</v>
      </c>
      <c r="H302" t="s">
        <v>15</v>
      </c>
      <c r="I302" t="s">
        <v>28</v>
      </c>
      <c r="J302" t="s">
        <v>91</v>
      </c>
      <c r="K302" t="s">
        <v>104</v>
      </c>
      <c r="L302" s="5">
        <v>45829</v>
      </c>
      <c r="M302" s="7">
        <v>5.5555555555555552E-2</v>
      </c>
      <c r="N302" s="7">
        <v>0.41319444444444442</v>
      </c>
      <c r="O302" t="s">
        <v>105</v>
      </c>
      <c r="P302" t="s">
        <v>106</v>
      </c>
      <c r="Q302">
        <v>2450</v>
      </c>
      <c r="R302">
        <v>30.2</v>
      </c>
      <c r="S302" t="s">
        <v>94</v>
      </c>
      <c r="T302">
        <v>0</v>
      </c>
      <c r="U302" t="s">
        <v>107</v>
      </c>
      <c r="V302" t="s">
        <v>103</v>
      </c>
      <c r="W302">
        <v>13200</v>
      </c>
    </row>
    <row r="303" spans="1:23" x14ac:dyDescent="0.35">
      <c r="A303" t="s">
        <v>520</v>
      </c>
      <c r="B303" t="s">
        <v>30</v>
      </c>
      <c r="C303">
        <v>25</v>
      </c>
      <c r="D303" t="s">
        <v>18</v>
      </c>
      <c r="E303" t="s">
        <v>31</v>
      </c>
      <c r="F303" t="s">
        <v>32</v>
      </c>
      <c r="G303" t="s">
        <v>21</v>
      </c>
      <c r="H303" t="s">
        <v>33</v>
      </c>
      <c r="I303" t="s">
        <v>34</v>
      </c>
      <c r="J303" t="s">
        <v>108</v>
      </c>
      <c r="K303" t="s">
        <v>109</v>
      </c>
      <c r="L303" s="5">
        <v>45829</v>
      </c>
      <c r="M303" s="7">
        <v>0.34027777777777779</v>
      </c>
      <c r="N303" s="7">
        <v>0.58333333333333337</v>
      </c>
      <c r="O303" t="s">
        <v>110</v>
      </c>
      <c r="P303" t="s">
        <v>93</v>
      </c>
      <c r="Q303">
        <v>420</v>
      </c>
      <c r="R303">
        <v>15.6</v>
      </c>
      <c r="S303" t="s">
        <v>111</v>
      </c>
      <c r="T303">
        <v>0</v>
      </c>
      <c r="U303" t="s">
        <v>95</v>
      </c>
      <c r="V303" t="s">
        <v>112</v>
      </c>
      <c r="W303">
        <v>3500</v>
      </c>
    </row>
    <row r="304" spans="1:23" x14ac:dyDescent="0.35">
      <c r="A304" t="s">
        <v>521</v>
      </c>
      <c r="B304" t="s">
        <v>36</v>
      </c>
      <c r="C304">
        <v>38</v>
      </c>
      <c r="D304" t="s">
        <v>11</v>
      </c>
      <c r="E304" t="s">
        <v>37</v>
      </c>
      <c r="F304" t="s">
        <v>38</v>
      </c>
      <c r="G304" t="s">
        <v>21</v>
      </c>
      <c r="H304" t="s">
        <v>39</v>
      </c>
      <c r="I304" t="s">
        <v>40</v>
      </c>
      <c r="J304" t="s">
        <v>113</v>
      </c>
      <c r="K304" t="s">
        <v>114</v>
      </c>
      <c r="L304" s="5">
        <v>45830</v>
      </c>
      <c r="M304" s="7">
        <v>0.91666666666666663</v>
      </c>
      <c r="N304" s="7">
        <v>0.57291666666666663</v>
      </c>
      <c r="O304" t="s">
        <v>115</v>
      </c>
      <c r="P304" t="s">
        <v>100</v>
      </c>
      <c r="Q304">
        <v>1980</v>
      </c>
      <c r="R304">
        <v>27.5</v>
      </c>
      <c r="S304" t="s">
        <v>94</v>
      </c>
      <c r="T304">
        <v>0</v>
      </c>
      <c r="U304" t="s">
        <v>102</v>
      </c>
      <c r="V304" t="s">
        <v>103</v>
      </c>
      <c r="W304">
        <v>9700</v>
      </c>
    </row>
    <row r="305" spans="1:23" x14ac:dyDescent="0.35">
      <c r="A305" t="s">
        <v>522</v>
      </c>
      <c r="B305" t="s">
        <v>42</v>
      </c>
      <c r="C305">
        <v>31</v>
      </c>
      <c r="D305" t="s">
        <v>18</v>
      </c>
      <c r="E305" t="s">
        <v>43</v>
      </c>
      <c r="F305" t="s">
        <v>44</v>
      </c>
      <c r="G305" t="s">
        <v>21</v>
      </c>
      <c r="H305" t="s">
        <v>15</v>
      </c>
      <c r="I305" t="s">
        <v>45</v>
      </c>
      <c r="J305" t="s">
        <v>91</v>
      </c>
      <c r="K305" t="s">
        <v>116</v>
      </c>
      <c r="L305" s="5">
        <v>45830</v>
      </c>
      <c r="M305" s="7">
        <v>0.15625</v>
      </c>
      <c r="N305" s="7">
        <v>0.47222222222222221</v>
      </c>
      <c r="O305" t="s">
        <v>117</v>
      </c>
      <c r="P305" t="s">
        <v>118</v>
      </c>
      <c r="Q305">
        <v>980</v>
      </c>
      <c r="R305">
        <v>19.3</v>
      </c>
      <c r="S305" t="s">
        <v>101</v>
      </c>
      <c r="T305">
        <v>35</v>
      </c>
      <c r="U305" t="s">
        <v>95</v>
      </c>
      <c r="V305" t="s">
        <v>96</v>
      </c>
      <c r="W305">
        <v>5400</v>
      </c>
    </row>
    <row r="306" spans="1:23" x14ac:dyDescent="0.35">
      <c r="A306" t="s">
        <v>523</v>
      </c>
      <c r="B306" t="s">
        <v>47</v>
      </c>
      <c r="C306">
        <v>45</v>
      </c>
      <c r="D306" t="s">
        <v>11</v>
      </c>
      <c r="E306" t="s">
        <v>48</v>
      </c>
      <c r="F306" t="s">
        <v>49</v>
      </c>
      <c r="G306" t="s">
        <v>21</v>
      </c>
      <c r="H306" t="s">
        <v>14</v>
      </c>
      <c r="I306" t="s">
        <v>28</v>
      </c>
      <c r="J306" t="s">
        <v>90</v>
      </c>
      <c r="K306" t="s">
        <v>104</v>
      </c>
      <c r="L306" s="5">
        <v>45831</v>
      </c>
      <c r="M306" s="7">
        <v>0.42708333333333331</v>
      </c>
      <c r="N306" s="7">
        <v>0.77083333333333337</v>
      </c>
      <c r="O306" t="s">
        <v>119</v>
      </c>
      <c r="P306" t="s">
        <v>100</v>
      </c>
      <c r="Q306">
        <v>1650</v>
      </c>
      <c r="R306">
        <v>26.8</v>
      </c>
      <c r="S306" t="s">
        <v>94</v>
      </c>
      <c r="T306">
        <v>0</v>
      </c>
      <c r="U306" t="s">
        <v>107</v>
      </c>
      <c r="V306" t="s">
        <v>103</v>
      </c>
      <c r="W306">
        <v>11000</v>
      </c>
    </row>
    <row r="307" spans="1:23" x14ac:dyDescent="0.35">
      <c r="A307" t="s">
        <v>524</v>
      </c>
      <c r="B307" t="s">
        <v>51</v>
      </c>
      <c r="C307">
        <v>27</v>
      </c>
      <c r="D307" t="s">
        <v>18</v>
      </c>
      <c r="E307" t="s">
        <v>52</v>
      </c>
      <c r="F307" t="s">
        <v>53</v>
      </c>
      <c r="G307" t="s">
        <v>21</v>
      </c>
      <c r="H307" t="s">
        <v>22</v>
      </c>
      <c r="I307" t="s">
        <v>40</v>
      </c>
      <c r="J307" t="s">
        <v>97</v>
      </c>
      <c r="K307" t="s">
        <v>114</v>
      </c>
      <c r="L307" s="5">
        <v>45831</v>
      </c>
      <c r="M307" s="7">
        <v>0.24305555555555555</v>
      </c>
      <c r="N307" s="7">
        <v>0.72222222222222221</v>
      </c>
      <c r="O307" t="s">
        <v>120</v>
      </c>
      <c r="P307" t="s">
        <v>93</v>
      </c>
      <c r="Q307">
        <v>740</v>
      </c>
      <c r="R307">
        <v>17.2</v>
      </c>
      <c r="S307" t="s">
        <v>111</v>
      </c>
      <c r="T307">
        <v>0</v>
      </c>
      <c r="U307" t="s">
        <v>95</v>
      </c>
      <c r="V307" t="s">
        <v>96</v>
      </c>
      <c r="W307">
        <v>4100</v>
      </c>
    </row>
    <row r="308" spans="1:23" x14ac:dyDescent="0.35">
      <c r="A308" t="s">
        <v>525</v>
      </c>
      <c r="B308" t="s">
        <v>55</v>
      </c>
      <c r="C308">
        <v>36</v>
      </c>
      <c r="D308" t="s">
        <v>11</v>
      </c>
      <c r="E308" t="s">
        <v>12</v>
      </c>
      <c r="F308" s="3" t="s">
        <v>56</v>
      </c>
      <c r="G308" t="s">
        <v>13</v>
      </c>
      <c r="H308" t="s">
        <v>57</v>
      </c>
      <c r="I308" t="s">
        <v>33</v>
      </c>
      <c r="J308" t="s">
        <v>121</v>
      </c>
      <c r="K308" t="s">
        <v>108</v>
      </c>
      <c r="L308" s="5">
        <v>45832</v>
      </c>
      <c r="M308" s="7">
        <v>0.60069444444444442</v>
      </c>
      <c r="N308" s="7">
        <v>0.71527777777777779</v>
      </c>
      <c r="O308" t="s">
        <v>122</v>
      </c>
      <c r="P308" t="s">
        <v>93</v>
      </c>
      <c r="Q308">
        <v>125</v>
      </c>
      <c r="R308">
        <v>12</v>
      </c>
      <c r="S308" t="s">
        <v>94</v>
      </c>
      <c r="T308">
        <v>0</v>
      </c>
      <c r="U308" t="s">
        <v>102</v>
      </c>
      <c r="V308" t="s">
        <v>103</v>
      </c>
      <c r="W308">
        <v>1800</v>
      </c>
    </row>
    <row r="309" spans="1:23" x14ac:dyDescent="0.35">
      <c r="A309" t="s">
        <v>526</v>
      </c>
      <c r="B309" t="s">
        <v>59</v>
      </c>
      <c r="C309">
        <v>30</v>
      </c>
      <c r="D309" t="s">
        <v>18</v>
      </c>
      <c r="E309" t="s">
        <v>19</v>
      </c>
      <c r="F309" t="s">
        <v>60</v>
      </c>
      <c r="G309" t="s">
        <v>13</v>
      </c>
      <c r="H309" t="s">
        <v>15</v>
      </c>
      <c r="I309" t="s">
        <v>14</v>
      </c>
      <c r="J309" t="s">
        <v>91</v>
      </c>
      <c r="K309" t="s">
        <v>90</v>
      </c>
      <c r="L309" s="5">
        <v>45832</v>
      </c>
      <c r="M309" s="7">
        <v>0.40277777777777779</v>
      </c>
      <c r="N309" s="7">
        <v>0.51736111111111116</v>
      </c>
      <c r="O309" t="s">
        <v>123</v>
      </c>
      <c r="P309" t="s">
        <v>118</v>
      </c>
      <c r="Q309">
        <v>310</v>
      </c>
      <c r="R309">
        <v>20.5</v>
      </c>
      <c r="S309" t="s">
        <v>101</v>
      </c>
      <c r="T309">
        <v>35</v>
      </c>
      <c r="U309" t="s">
        <v>95</v>
      </c>
      <c r="V309" t="s">
        <v>96</v>
      </c>
      <c r="W309">
        <v>6200</v>
      </c>
    </row>
    <row r="310" spans="1:23" x14ac:dyDescent="0.35">
      <c r="A310" t="s">
        <v>527</v>
      </c>
      <c r="B310" t="s">
        <v>62</v>
      </c>
      <c r="C310">
        <v>52</v>
      </c>
      <c r="D310" t="s">
        <v>11</v>
      </c>
      <c r="E310" t="s">
        <v>26</v>
      </c>
      <c r="F310" t="s">
        <v>63</v>
      </c>
      <c r="G310" t="s">
        <v>21</v>
      </c>
      <c r="H310" t="s">
        <v>22</v>
      </c>
      <c r="I310" t="s">
        <v>23</v>
      </c>
      <c r="J310" t="s">
        <v>97</v>
      </c>
      <c r="K310" t="s">
        <v>98</v>
      </c>
      <c r="L310" s="5">
        <v>45833</v>
      </c>
      <c r="M310" s="7">
        <v>0.96875</v>
      </c>
      <c r="N310" s="7">
        <v>0.12152777777777778</v>
      </c>
      <c r="O310" t="s">
        <v>124</v>
      </c>
      <c r="P310" t="s">
        <v>100</v>
      </c>
      <c r="Q310">
        <v>1200</v>
      </c>
      <c r="R310">
        <v>28</v>
      </c>
      <c r="S310" t="s">
        <v>94</v>
      </c>
      <c r="T310">
        <v>0</v>
      </c>
      <c r="U310" t="s">
        <v>107</v>
      </c>
      <c r="V310" t="s">
        <v>125</v>
      </c>
      <c r="W310">
        <v>14000</v>
      </c>
    </row>
    <row r="311" spans="1:23" x14ac:dyDescent="0.35">
      <c r="A311" t="s">
        <v>528</v>
      </c>
      <c r="B311" t="s">
        <v>65</v>
      </c>
      <c r="C311">
        <v>24</v>
      </c>
      <c r="D311" t="s">
        <v>18</v>
      </c>
      <c r="E311" t="s">
        <v>12</v>
      </c>
      <c r="F311" s="3" t="s">
        <v>66</v>
      </c>
      <c r="G311" t="s">
        <v>13</v>
      </c>
      <c r="H311" t="s">
        <v>39</v>
      </c>
      <c r="I311" t="s">
        <v>15</v>
      </c>
      <c r="J311" t="s">
        <v>113</v>
      </c>
      <c r="K311" t="s">
        <v>91</v>
      </c>
      <c r="L311" s="5">
        <v>45833</v>
      </c>
      <c r="M311" s="7">
        <v>0.25694444444444442</v>
      </c>
      <c r="N311" s="7">
        <v>0.3611111111111111</v>
      </c>
      <c r="O311" t="s">
        <v>126</v>
      </c>
      <c r="P311" t="s">
        <v>93</v>
      </c>
      <c r="Q311">
        <v>160</v>
      </c>
      <c r="R311">
        <v>10.4</v>
      </c>
      <c r="S311" t="s">
        <v>111</v>
      </c>
      <c r="T311">
        <v>0</v>
      </c>
      <c r="U311" t="s">
        <v>102</v>
      </c>
      <c r="V311" t="s">
        <v>112</v>
      </c>
      <c r="W311">
        <v>900</v>
      </c>
    </row>
    <row r="312" spans="1:23" x14ac:dyDescent="0.35">
      <c r="A312" t="s">
        <v>529</v>
      </c>
      <c r="B312" t="s">
        <v>68</v>
      </c>
      <c r="C312">
        <v>40</v>
      </c>
      <c r="D312" t="s">
        <v>11</v>
      </c>
      <c r="E312" t="s">
        <v>37</v>
      </c>
      <c r="F312" t="s">
        <v>69</v>
      </c>
      <c r="G312" t="s">
        <v>21</v>
      </c>
      <c r="H312" t="s">
        <v>33</v>
      </c>
      <c r="I312" t="s">
        <v>34</v>
      </c>
      <c r="J312" t="s">
        <v>108</v>
      </c>
      <c r="K312" t="s">
        <v>109</v>
      </c>
      <c r="L312" s="5">
        <v>45834</v>
      </c>
      <c r="M312" s="7">
        <v>0.84722222222222221</v>
      </c>
      <c r="N312" s="7">
        <v>9.0277777777777776E-2</v>
      </c>
      <c r="O312" t="s">
        <v>127</v>
      </c>
      <c r="P312" t="s">
        <v>100</v>
      </c>
      <c r="Q312">
        <v>1340</v>
      </c>
      <c r="R312">
        <v>22.6</v>
      </c>
      <c r="S312" t="s">
        <v>94</v>
      </c>
      <c r="T312">
        <v>0</v>
      </c>
      <c r="U312" t="s">
        <v>95</v>
      </c>
      <c r="V312" t="s">
        <v>103</v>
      </c>
      <c r="W312">
        <v>8700</v>
      </c>
    </row>
    <row r="313" spans="1:23" x14ac:dyDescent="0.35">
      <c r="A313" t="s">
        <v>530</v>
      </c>
      <c r="B313" t="s">
        <v>71</v>
      </c>
      <c r="C313">
        <v>33</v>
      </c>
      <c r="D313" t="s">
        <v>18</v>
      </c>
      <c r="E313" t="s">
        <v>43</v>
      </c>
      <c r="F313" t="s">
        <v>72</v>
      </c>
      <c r="G313" t="s">
        <v>21</v>
      </c>
      <c r="H313" t="s">
        <v>15</v>
      </c>
      <c r="I313" t="s">
        <v>40</v>
      </c>
      <c r="J313" t="s">
        <v>91</v>
      </c>
      <c r="K313" t="s">
        <v>114</v>
      </c>
      <c r="L313" s="5">
        <v>45834</v>
      </c>
      <c r="M313" s="7">
        <v>0.11805555555555555</v>
      </c>
      <c r="N313" s="7">
        <v>0.64583333333333337</v>
      </c>
      <c r="O313" t="s">
        <v>128</v>
      </c>
      <c r="P313" t="s">
        <v>106</v>
      </c>
      <c r="Q313">
        <v>2600</v>
      </c>
      <c r="R313">
        <v>31.4</v>
      </c>
      <c r="S313" t="s">
        <v>101</v>
      </c>
      <c r="T313">
        <v>90</v>
      </c>
      <c r="U313" t="s">
        <v>107</v>
      </c>
      <c r="V313" t="s">
        <v>96</v>
      </c>
      <c r="W313">
        <v>15000</v>
      </c>
    </row>
    <row r="314" spans="1:23" x14ac:dyDescent="0.35">
      <c r="A314" t="s">
        <v>531</v>
      </c>
      <c r="B314" t="s">
        <v>74</v>
      </c>
      <c r="C314">
        <v>47</v>
      </c>
      <c r="D314" t="s">
        <v>11</v>
      </c>
      <c r="E314" t="s">
        <v>19</v>
      </c>
      <c r="F314" t="s">
        <v>75</v>
      </c>
      <c r="G314" t="s">
        <v>21</v>
      </c>
      <c r="H314" t="s">
        <v>14</v>
      </c>
      <c r="I314" t="s">
        <v>23</v>
      </c>
      <c r="J314" t="s">
        <v>90</v>
      </c>
      <c r="K314" t="s">
        <v>98</v>
      </c>
      <c r="L314" s="5">
        <v>45835</v>
      </c>
      <c r="M314" s="7">
        <v>0.54513888888888884</v>
      </c>
      <c r="N314" s="7">
        <v>0.71875</v>
      </c>
      <c r="O314" t="s">
        <v>129</v>
      </c>
      <c r="P314" t="s">
        <v>93</v>
      </c>
      <c r="Q314">
        <v>390</v>
      </c>
      <c r="R314">
        <v>16.100000000000001</v>
      </c>
      <c r="S314" t="s">
        <v>94</v>
      </c>
      <c r="T314">
        <v>0</v>
      </c>
      <c r="U314" t="s">
        <v>95</v>
      </c>
      <c r="V314" t="s">
        <v>103</v>
      </c>
      <c r="W314">
        <v>3000</v>
      </c>
    </row>
    <row r="315" spans="1:23" x14ac:dyDescent="0.35">
      <c r="A315" t="s">
        <v>532</v>
      </c>
      <c r="B315" t="s">
        <v>131</v>
      </c>
      <c r="C315">
        <v>28</v>
      </c>
      <c r="D315" t="s">
        <v>18</v>
      </c>
      <c r="E315" t="s">
        <v>52</v>
      </c>
      <c r="F315" t="s">
        <v>132</v>
      </c>
      <c r="G315" t="s">
        <v>21</v>
      </c>
      <c r="H315" t="s">
        <v>33</v>
      </c>
      <c r="I315" t="s">
        <v>28</v>
      </c>
      <c r="J315" t="s">
        <v>108</v>
      </c>
      <c r="K315" t="s">
        <v>104</v>
      </c>
      <c r="L315" s="5">
        <v>45835</v>
      </c>
      <c r="M315" s="7">
        <v>0.32291666666666669</v>
      </c>
      <c r="N315" s="7">
        <v>0.75694444444444442</v>
      </c>
      <c r="O315" t="s">
        <v>133</v>
      </c>
      <c r="P315" t="s">
        <v>118</v>
      </c>
      <c r="Q315">
        <v>980</v>
      </c>
      <c r="R315">
        <v>21</v>
      </c>
      <c r="S315" t="s">
        <v>111</v>
      </c>
      <c r="T315">
        <v>0</v>
      </c>
      <c r="U315" t="s">
        <v>102</v>
      </c>
      <c r="V315" t="s">
        <v>96</v>
      </c>
      <c r="W315">
        <v>7200</v>
      </c>
    </row>
    <row r="316" spans="1:23" x14ac:dyDescent="0.35">
      <c r="A316" t="s">
        <v>533</v>
      </c>
      <c r="B316" t="s">
        <v>135</v>
      </c>
      <c r="C316">
        <v>39</v>
      </c>
      <c r="D316" t="s">
        <v>11</v>
      </c>
      <c r="E316" t="s">
        <v>12</v>
      </c>
      <c r="F316" s="3" t="s">
        <v>136</v>
      </c>
      <c r="G316" t="s">
        <v>13</v>
      </c>
      <c r="H316" t="s">
        <v>15</v>
      </c>
      <c r="I316" t="s">
        <v>22</v>
      </c>
      <c r="J316" t="s">
        <v>91</v>
      </c>
      <c r="K316" t="s">
        <v>97</v>
      </c>
      <c r="L316" s="5">
        <v>45836</v>
      </c>
      <c r="M316" s="7">
        <v>0.47916666666666669</v>
      </c>
      <c r="N316" s="7">
        <v>0.56944444444444442</v>
      </c>
      <c r="O316" t="s">
        <v>137</v>
      </c>
      <c r="P316" t="s">
        <v>93</v>
      </c>
      <c r="Q316">
        <v>110</v>
      </c>
      <c r="R316">
        <v>8.6</v>
      </c>
      <c r="S316" t="s">
        <v>94</v>
      </c>
      <c r="T316">
        <v>0</v>
      </c>
      <c r="U316" t="s">
        <v>95</v>
      </c>
      <c r="V316" t="s">
        <v>103</v>
      </c>
      <c r="W316">
        <v>1500</v>
      </c>
    </row>
    <row r="317" spans="1:23" x14ac:dyDescent="0.35">
      <c r="A317" t="s">
        <v>534</v>
      </c>
      <c r="B317" t="s">
        <v>139</v>
      </c>
      <c r="C317">
        <v>26</v>
      </c>
      <c r="D317" t="s">
        <v>18</v>
      </c>
      <c r="E317" t="s">
        <v>19</v>
      </c>
      <c r="F317" t="s">
        <v>140</v>
      </c>
      <c r="G317" t="s">
        <v>13</v>
      </c>
      <c r="H317" t="s">
        <v>57</v>
      </c>
      <c r="I317" t="s">
        <v>39</v>
      </c>
      <c r="J317" t="s">
        <v>121</v>
      </c>
      <c r="K317" t="s">
        <v>113</v>
      </c>
      <c r="L317" s="5">
        <v>45836</v>
      </c>
      <c r="M317" s="7">
        <v>0.66666666666666663</v>
      </c>
      <c r="N317" s="7">
        <v>0.76736111111111116</v>
      </c>
      <c r="O317" t="s">
        <v>141</v>
      </c>
      <c r="P317" t="s">
        <v>93</v>
      </c>
      <c r="Q317">
        <v>140</v>
      </c>
      <c r="R317">
        <v>11.2</v>
      </c>
      <c r="S317" t="s">
        <v>101</v>
      </c>
      <c r="T317">
        <v>20</v>
      </c>
      <c r="U317" t="s">
        <v>95</v>
      </c>
      <c r="V317" t="s">
        <v>96</v>
      </c>
      <c r="W317">
        <v>2700</v>
      </c>
    </row>
    <row r="318" spans="1:23" x14ac:dyDescent="0.35">
      <c r="A318" t="s">
        <v>535</v>
      </c>
      <c r="B318" t="s">
        <v>143</v>
      </c>
      <c r="C318">
        <v>50</v>
      </c>
      <c r="D318" t="s">
        <v>11</v>
      </c>
      <c r="E318" t="s">
        <v>26</v>
      </c>
      <c r="F318" t="s">
        <v>144</v>
      </c>
      <c r="G318" t="s">
        <v>21</v>
      </c>
      <c r="H318" t="s">
        <v>14</v>
      </c>
      <c r="I318" t="s">
        <v>34</v>
      </c>
      <c r="J318" t="s">
        <v>90</v>
      </c>
      <c r="K318" t="s">
        <v>109</v>
      </c>
      <c r="L318" s="5">
        <v>45837</v>
      </c>
      <c r="M318" s="7">
        <v>0.88194444444444442</v>
      </c>
      <c r="N318" s="7">
        <v>0.2013888888888889</v>
      </c>
      <c r="O318" t="s">
        <v>145</v>
      </c>
      <c r="P318" t="s">
        <v>100</v>
      </c>
      <c r="Q318">
        <v>1450</v>
      </c>
      <c r="R318">
        <v>25.9</v>
      </c>
      <c r="S318" t="s">
        <v>94</v>
      </c>
      <c r="T318">
        <v>0</v>
      </c>
      <c r="U318" t="s">
        <v>107</v>
      </c>
      <c r="V318" t="s">
        <v>125</v>
      </c>
      <c r="W318">
        <v>11800</v>
      </c>
    </row>
    <row r="319" spans="1:23" x14ac:dyDescent="0.35">
      <c r="A319" t="s">
        <v>536</v>
      </c>
      <c r="B319" t="s">
        <v>222</v>
      </c>
      <c r="C319">
        <v>31</v>
      </c>
      <c r="D319" t="s">
        <v>18</v>
      </c>
      <c r="E319" t="s">
        <v>31</v>
      </c>
      <c r="F319" t="s">
        <v>148</v>
      </c>
      <c r="G319" t="s">
        <v>21</v>
      </c>
      <c r="H319" t="s">
        <v>15</v>
      </c>
      <c r="I319" t="s">
        <v>23</v>
      </c>
      <c r="J319" t="s">
        <v>91</v>
      </c>
      <c r="K319" t="s">
        <v>98</v>
      </c>
      <c r="L319" s="5">
        <v>45837</v>
      </c>
      <c r="M319" s="7">
        <v>0.18402777777777779</v>
      </c>
      <c r="N319" s="7">
        <v>0.33333333333333331</v>
      </c>
      <c r="O319" t="s">
        <v>149</v>
      </c>
      <c r="P319" t="s">
        <v>93</v>
      </c>
      <c r="Q319">
        <v>330</v>
      </c>
      <c r="R319">
        <v>13.5</v>
      </c>
      <c r="S319" t="s">
        <v>111</v>
      </c>
      <c r="T319">
        <v>0</v>
      </c>
      <c r="U319" t="s">
        <v>102</v>
      </c>
      <c r="V319" t="s">
        <v>112</v>
      </c>
      <c r="W319">
        <v>2100</v>
      </c>
    </row>
    <row r="320" spans="1:23" x14ac:dyDescent="0.35">
      <c r="A320" t="s">
        <v>537</v>
      </c>
      <c r="B320" t="s">
        <v>224</v>
      </c>
      <c r="C320">
        <v>44</v>
      </c>
      <c r="D320" t="s">
        <v>11</v>
      </c>
      <c r="E320" t="s">
        <v>12</v>
      </c>
      <c r="F320" s="11" t="s">
        <v>225</v>
      </c>
      <c r="G320" t="s">
        <v>13</v>
      </c>
      <c r="H320" t="s">
        <v>22</v>
      </c>
      <c r="I320" t="s">
        <v>57</v>
      </c>
      <c r="J320" t="s">
        <v>97</v>
      </c>
      <c r="K320" t="s">
        <v>121</v>
      </c>
      <c r="L320" s="5">
        <v>45838</v>
      </c>
      <c r="M320" s="7">
        <v>0.38194444444444442</v>
      </c>
      <c r="N320" s="7">
        <v>0.4861111111111111</v>
      </c>
      <c r="O320" t="s">
        <v>226</v>
      </c>
      <c r="P320" t="s">
        <v>93</v>
      </c>
      <c r="Q320">
        <v>125</v>
      </c>
      <c r="R320">
        <v>12</v>
      </c>
      <c r="S320" t="s">
        <v>94</v>
      </c>
      <c r="T320">
        <v>0</v>
      </c>
      <c r="U320" t="s">
        <v>95</v>
      </c>
      <c r="V320" t="s">
        <v>103</v>
      </c>
      <c r="W320">
        <v>2100</v>
      </c>
    </row>
    <row r="321" spans="1:23" x14ac:dyDescent="0.35">
      <c r="A321" t="s">
        <v>538</v>
      </c>
      <c r="B321" t="s">
        <v>30</v>
      </c>
      <c r="C321">
        <v>25</v>
      </c>
      <c r="D321" t="s">
        <v>18</v>
      </c>
      <c r="E321" t="s">
        <v>19</v>
      </c>
      <c r="F321" t="s">
        <v>20</v>
      </c>
      <c r="G321" t="s">
        <v>21</v>
      </c>
      <c r="H321" t="s">
        <v>15</v>
      </c>
      <c r="I321" t="s">
        <v>28</v>
      </c>
      <c r="J321" t="s">
        <v>91</v>
      </c>
      <c r="K321" t="s">
        <v>104</v>
      </c>
      <c r="L321" s="5">
        <v>45838</v>
      </c>
      <c r="M321" s="7">
        <v>5.2083333333333336E-2</v>
      </c>
      <c r="N321" s="7">
        <v>0.40972222222222221</v>
      </c>
      <c r="O321" t="s">
        <v>99</v>
      </c>
      <c r="P321" t="s">
        <v>100</v>
      </c>
      <c r="Q321">
        <v>860</v>
      </c>
      <c r="R321">
        <v>24</v>
      </c>
      <c r="S321" t="s">
        <v>101</v>
      </c>
      <c r="T321">
        <v>50</v>
      </c>
      <c r="U321" t="s">
        <v>102</v>
      </c>
      <c r="V321" t="s">
        <v>96</v>
      </c>
      <c r="W321">
        <v>8400</v>
      </c>
    </row>
    <row r="322" spans="1:23" x14ac:dyDescent="0.35">
      <c r="A322" t="s">
        <v>539</v>
      </c>
      <c r="B322" t="s">
        <v>197</v>
      </c>
      <c r="C322">
        <v>38</v>
      </c>
      <c r="D322" t="s">
        <v>11</v>
      </c>
      <c r="E322" t="s">
        <v>37</v>
      </c>
      <c r="F322" t="s">
        <v>38</v>
      </c>
      <c r="G322" t="s">
        <v>21</v>
      </c>
      <c r="H322" t="s">
        <v>39</v>
      </c>
      <c r="I322" t="s">
        <v>40</v>
      </c>
      <c r="J322" t="s">
        <v>113</v>
      </c>
      <c r="K322" t="s">
        <v>114</v>
      </c>
      <c r="L322" s="5">
        <v>45839</v>
      </c>
      <c r="M322" s="7">
        <v>0.91666666666666663</v>
      </c>
      <c r="N322" s="7">
        <v>0.57291666666666663</v>
      </c>
      <c r="O322" t="s">
        <v>115</v>
      </c>
      <c r="P322" t="s">
        <v>100</v>
      </c>
      <c r="Q322">
        <v>1980</v>
      </c>
      <c r="R322">
        <v>27.5</v>
      </c>
      <c r="S322" t="s">
        <v>94</v>
      </c>
      <c r="T322">
        <v>0</v>
      </c>
      <c r="U322" t="s">
        <v>102</v>
      </c>
      <c r="V322" t="s">
        <v>103</v>
      </c>
      <c r="W322">
        <v>9700</v>
      </c>
    </row>
    <row r="323" spans="1:23" x14ac:dyDescent="0.35">
      <c r="A323" t="s">
        <v>540</v>
      </c>
      <c r="B323" t="s">
        <v>42</v>
      </c>
      <c r="C323">
        <v>31</v>
      </c>
      <c r="D323" t="s">
        <v>18</v>
      </c>
      <c r="E323" t="s">
        <v>43</v>
      </c>
      <c r="F323" t="s">
        <v>44</v>
      </c>
      <c r="G323" t="s">
        <v>21</v>
      </c>
      <c r="H323" t="s">
        <v>15</v>
      </c>
      <c r="I323" t="s">
        <v>45</v>
      </c>
      <c r="J323" t="s">
        <v>91</v>
      </c>
      <c r="K323" t="s">
        <v>116</v>
      </c>
      <c r="L323" s="5">
        <v>45839</v>
      </c>
      <c r="M323" s="7">
        <v>0.15625</v>
      </c>
      <c r="N323" s="7">
        <v>0.47222222222222221</v>
      </c>
      <c r="O323" t="s">
        <v>117</v>
      </c>
      <c r="P323" t="s">
        <v>118</v>
      </c>
      <c r="Q323">
        <v>980</v>
      </c>
      <c r="R323">
        <v>19.3</v>
      </c>
      <c r="S323" t="s">
        <v>94</v>
      </c>
      <c r="T323">
        <v>0</v>
      </c>
      <c r="U323" t="s">
        <v>95</v>
      </c>
      <c r="V323" t="s">
        <v>96</v>
      </c>
      <c r="W323">
        <v>5400</v>
      </c>
    </row>
    <row r="324" spans="1:23" x14ac:dyDescent="0.35">
      <c r="A324" t="s">
        <v>541</v>
      </c>
      <c r="B324" t="s">
        <v>231</v>
      </c>
      <c r="C324">
        <v>35</v>
      </c>
      <c r="D324" t="s">
        <v>11</v>
      </c>
      <c r="E324" t="s">
        <v>26</v>
      </c>
      <c r="F324" t="s">
        <v>232</v>
      </c>
      <c r="G324" t="s">
        <v>21</v>
      </c>
      <c r="H324" t="s">
        <v>22</v>
      </c>
      <c r="I324" t="s">
        <v>28</v>
      </c>
      <c r="J324" t="s">
        <v>97</v>
      </c>
      <c r="K324" t="s">
        <v>104</v>
      </c>
      <c r="L324" s="5">
        <v>45840</v>
      </c>
      <c r="M324" s="7">
        <v>9.0277777777777776E-2</v>
      </c>
      <c r="N324" s="7">
        <v>0.36805555555555558</v>
      </c>
      <c r="O324" t="s">
        <v>119</v>
      </c>
      <c r="P324" t="s">
        <v>100</v>
      </c>
      <c r="Q324">
        <v>1800</v>
      </c>
      <c r="R324">
        <v>26.5</v>
      </c>
      <c r="S324" t="s">
        <v>94</v>
      </c>
      <c r="T324">
        <v>0</v>
      </c>
      <c r="U324" t="s">
        <v>107</v>
      </c>
      <c r="V324" t="s">
        <v>103</v>
      </c>
      <c r="W324">
        <v>12000</v>
      </c>
    </row>
    <row r="325" spans="1:23" x14ac:dyDescent="0.35">
      <c r="A325" t="s">
        <v>542</v>
      </c>
      <c r="B325" t="s">
        <v>234</v>
      </c>
      <c r="C325">
        <v>28</v>
      </c>
      <c r="D325" t="s">
        <v>18</v>
      </c>
      <c r="E325" t="s">
        <v>12</v>
      </c>
      <c r="F325" s="3" t="s">
        <v>235</v>
      </c>
      <c r="G325" t="s">
        <v>13</v>
      </c>
      <c r="H325" t="s">
        <v>14</v>
      </c>
      <c r="I325" t="s">
        <v>15</v>
      </c>
      <c r="J325" t="s">
        <v>90</v>
      </c>
      <c r="K325" t="s">
        <v>91</v>
      </c>
      <c r="L325" s="5">
        <v>45840</v>
      </c>
      <c r="M325" s="7">
        <v>0.28125</v>
      </c>
      <c r="N325" s="7">
        <v>0.3888888888888889</v>
      </c>
      <c r="O325" t="s">
        <v>236</v>
      </c>
      <c r="P325" t="s">
        <v>93</v>
      </c>
      <c r="Q325">
        <v>150</v>
      </c>
      <c r="R325">
        <v>11.2</v>
      </c>
      <c r="S325" t="s">
        <v>101</v>
      </c>
      <c r="T325">
        <v>30</v>
      </c>
      <c r="U325" t="s">
        <v>102</v>
      </c>
      <c r="V325" t="s">
        <v>96</v>
      </c>
      <c r="W325">
        <v>3200</v>
      </c>
    </row>
    <row r="326" spans="1:23" x14ac:dyDescent="0.35">
      <c r="A326" t="s">
        <v>543</v>
      </c>
      <c r="B326" t="s">
        <v>25</v>
      </c>
      <c r="C326">
        <v>41</v>
      </c>
      <c r="D326" t="s">
        <v>11</v>
      </c>
      <c r="E326" t="s">
        <v>26</v>
      </c>
      <c r="F326" t="s">
        <v>27</v>
      </c>
      <c r="G326" t="s">
        <v>21</v>
      </c>
      <c r="H326" t="s">
        <v>15</v>
      </c>
      <c r="I326" t="s">
        <v>28</v>
      </c>
      <c r="J326" t="s">
        <v>91</v>
      </c>
      <c r="K326" t="s">
        <v>104</v>
      </c>
      <c r="L326" s="5">
        <v>45841</v>
      </c>
      <c r="M326" s="7">
        <v>5.5555555555555552E-2</v>
      </c>
      <c r="N326" s="7">
        <v>0.41319444444444442</v>
      </c>
      <c r="O326" t="s">
        <v>105</v>
      </c>
      <c r="P326" t="s">
        <v>106</v>
      </c>
      <c r="Q326">
        <v>2450</v>
      </c>
      <c r="R326">
        <v>30.2</v>
      </c>
      <c r="S326" t="s">
        <v>94</v>
      </c>
      <c r="T326">
        <v>0</v>
      </c>
      <c r="U326" t="s">
        <v>107</v>
      </c>
      <c r="V326" t="s">
        <v>103</v>
      </c>
      <c r="W326">
        <v>13200</v>
      </c>
    </row>
    <row r="327" spans="1:23" x14ac:dyDescent="0.35">
      <c r="A327" t="s">
        <v>544</v>
      </c>
      <c r="B327" t="s">
        <v>30</v>
      </c>
      <c r="C327">
        <v>25</v>
      </c>
      <c r="D327" t="s">
        <v>18</v>
      </c>
      <c r="E327" t="s">
        <v>31</v>
      </c>
      <c r="F327" t="s">
        <v>32</v>
      </c>
      <c r="G327" t="s">
        <v>21</v>
      </c>
      <c r="H327" t="s">
        <v>33</v>
      </c>
      <c r="I327" t="s">
        <v>34</v>
      </c>
      <c r="J327" t="s">
        <v>108</v>
      </c>
      <c r="K327" t="s">
        <v>109</v>
      </c>
      <c r="L327" s="5">
        <v>45841</v>
      </c>
      <c r="M327" s="7">
        <v>0.34027777777777779</v>
      </c>
      <c r="N327" s="7">
        <v>0.58333333333333337</v>
      </c>
      <c r="O327" t="s">
        <v>110</v>
      </c>
      <c r="P327" t="s">
        <v>93</v>
      </c>
      <c r="Q327">
        <v>420</v>
      </c>
      <c r="R327">
        <v>15.6</v>
      </c>
      <c r="S327" t="s">
        <v>111</v>
      </c>
      <c r="T327">
        <v>0</v>
      </c>
      <c r="U327" t="s">
        <v>95</v>
      </c>
      <c r="V327" t="s">
        <v>112</v>
      </c>
      <c r="W327">
        <v>3500</v>
      </c>
    </row>
    <row r="328" spans="1:23" x14ac:dyDescent="0.35">
      <c r="A328" t="s">
        <v>545</v>
      </c>
      <c r="B328" t="s">
        <v>36</v>
      </c>
      <c r="C328">
        <v>38</v>
      </c>
      <c r="D328" t="s">
        <v>11</v>
      </c>
      <c r="E328" t="s">
        <v>37</v>
      </c>
      <c r="F328" t="s">
        <v>38</v>
      </c>
      <c r="G328" t="s">
        <v>21</v>
      </c>
      <c r="H328" t="s">
        <v>39</v>
      </c>
      <c r="I328" t="s">
        <v>40</v>
      </c>
      <c r="J328" t="s">
        <v>113</v>
      </c>
      <c r="K328" t="s">
        <v>114</v>
      </c>
      <c r="L328" s="5">
        <v>45842</v>
      </c>
      <c r="M328" s="7">
        <v>0.91666666666666663</v>
      </c>
      <c r="N328" s="7">
        <v>0.57291666666666663</v>
      </c>
      <c r="O328" t="s">
        <v>115</v>
      </c>
      <c r="P328" t="s">
        <v>100</v>
      </c>
      <c r="Q328">
        <v>1980</v>
      </c>
      <c r="R328">
        <v>27.5</v>
      </c>
      <c r="S328" t="s">
        <v>94</v>
      </c>
      <c r="T328">
        <v>0</v>
      </c>
      <c r="U328" t="s">
        <v>102</v>
      </c>
      <c r="V328" t="s">
        <v>103</v>
      </c>
      <c r="W328">
        <v>9700</v>
      </c>
    </row>
    <row r="329" spans="1:23" x14ac:dyDescent="0.35">
      <c r="A329" t="s">
        <v>546</v>
      </c>
      <c r="B329" t="s">
        <v>42</v>
      </c>
      <c r="C329">
        <v>31</v>
      </c>
      <c r="D329" t="s">
        <v>18</v>
      </c>
      <c r="E329" t="s">
        <v>43</v>
      </c>
      <c r="F329" t="s">
        <v>44</v>
      </c>
      <c r="G329" t="s">
        <v>21</v>
      </c>
      <c r="H329" t="s">
        <v>15</v>
      </c>
      <c r="I329" t="s">
        <v>45</v>
      </c>
      <c r="J329" t="s">
        <v>91</v>
      </c>
      <c r="K329" t="s">
        <v>116</v>
      </c>
      <c r="L329" s="5">
        <v>45842</v>
      </c>
      <c r="M329" s="7">
        <v>0.15625</v>
      </c>
      <c r="N329" s="7">
        <v>0.47222222222222221</v>
      </c>
      <c r="O329" t="s">
        <v>117</v>
      </c>
      <c r="P329" t="s">
        <v>118</v>
      </c>
      <c r="Q329">
        <v>980</v>
      </c>
      <c r="R329">
        <v>19.3</v>
      </c>
      <c r="S329" t="s">
        <v>101</v>
      </c>
      <c r="T329">
        <v>35</v>
      </c>
      <c r="U329" t="s">
        <v>95</v>
      </c>
      <c r="V329" t="s">
        <v>96</v>
      </c>
      <c r="W329">
        <v>5400</v>
      </c>
    </row>
    <row r="330" spans="1:23" x14ac:dyDescent="0.35">
      <c r="A330" t="s">
        <v>547</v>
      </c>
      <c r="B330" t="s">
        <v>47</v>
      </c>
      <c r="C330">
        <v>45</v>
      </c>
      <c r="D330" t="s">
        <v>11</v>
      </c>
      <c r="E330" t="s">
        <v>48</v>
      </c>
      <c r="F330" t="s">
        <v>49</v>
      </c>
      <c r="G330" t="s">
        <v>21</v>
      </c>
      <c r="H330" t="s">
        <v>14</v>
      </c>
      <c r="I330" t="s">
        <v>28</v>
      </c>
      <c r="J330" t="s">
        <v>90</v>
      </c>
      <c r="K330" t="s">
        <v>104</v>
      </c>
      <c r="L330" s="5">
        <v>45843</v>
      </c>
      <c r="M330" s="7">
        <v>0.42708333333333331</v>
      </c>
      <c r="N330" s="7">
        <v>0.77083333333333337</v>
      </c>
      <c r="O330" t="s">
        <v>119</v>
      </c>
      <c r="P330" t="s">
        <v>100</v>
      </c>
      <c r="Q330">
        <v>1650</v>
      </c>
      <c r="R330">
        <v>26.8</v>
      </c>
      <c r="S330" t="s">
        <v>94</v>
      </c>
      <c r="T330">
        <v>0</v>
      </c>
      <c r="U330" t="s">
        <v>107</v>
      </c>
      <c r="V330" t="s">
        <v>103</v>
      </c>
      <c r="W330">
        <v>11000</v>
      </c>
    </row>
    <row r="331" spans="1:23" x14ac:dyDescent="0.35">
      <c r="A331" t="s">
        <v>548</v>
      </c>
      <c r="B331" t="s">
        <v>51</v>
      </c>
      <c r="C331">
        <v>27</v>
      </c>
      <c r="D331" t="s">
        <v>18</v>
      </c>
      <c r="E331" t="s">
        <v>52</v>
      </c>
      <c r="F331" t="s">
        <v>53</v>
      </c>
      <c r="G331" t="s">
        <v>21</v>
      </c>
      <c r="H331" t="s">
        <v>22</v>
      </c>
      <c r="I331" t="s">
        <v>40</v>
      </c>
      <c r="J331" t="s">
        <v>97</v>
      </c>
      <c r="K331" t="s">
        <v>114</v>
      </c>
      <c r="L331" s="5">
        <v>45843</v>
      </c>
      <c r="M331" s="7">
        <v>0.24305555555555555</v>
      </c>
      <c r="N331" s="7">
        <v>0.72222222222222221</v>
      </c>
      <c r="O331" t="s">
        <v>120</v>
      </c>
      <c r="P331" t="s">
        <v>93</v>
      </c>
      <c r="Q331">
        <v>740</v>
      </c>
      <c r="R331">
        <v>17.2</v>
      </c>
      <c r="S331" t="s">
        <v>111</v>
      </c>
      <c r="T331">
        <v>0</v>
      </c>
      <c r="U331" t="s">
        <v>95</v>
      </c>
      <c r="V331" t="s">
        <v>96</v>
      </c>
      <c r="W331">
        <v>4100</v>
      </c>
    </row>
    <row r="332" spans="1:23" x14ac:dyDescent="0.35">
      <c r="A332" t="s">
        <v>549</v>
      </c>
      <c r="B332" t="s">
        <v>55</v>
      </c>
      <c r="C332">
        <v>36</v>
      </c>
      <c r="D332" t="s">
        <v>11</v>
      </c>
      <c r="E332" t="s">
        <v>12</v>
      </c>
      <c r="F332" s="3" t="s">
        <v>56</v>
      </c>
      <c r="G332" t="s">
        <v>13</v>
      </c>
      <c r="H332" t="s">
        <v>57</v>
      </c>
      <c r="I332" t="s">
        <v>33</v>
      </c>
      <c r="J332" t="s">
        <v>121</v>
      </c>
      <c r="K332" t="s">
        <v>108</v>
      </c>
      <c r="L332" s="5">
        <v>45844</v>
      </c>
      <c r="M332" s="7">
        <v>0.60069444444444442</v>
      </c>
      <c r="N332" s="7">
        <v>0.71527777777777779</v>
      </c>
      <c r="O332" t="s">
        <v>122</v>
      </c>
      <c r="P332" t="s">
        <v>93</v>
      </c>
      <c r="Q332">
        <v>125</v>
      </c>
      <c r="R332">
        <v>12</v>
      </c>
      <c r="S332" t="s">
        <v>94</v>
      </c>
      <c r="T332">
        <v>0</v>
      </c>
      <c r="U332" t="s">
        <v>102</v>
      </c>
      <c r="V332" t="s">
        <v>103</v>
      </c>
      <c r="W332">
        <v>1800</v>
      </c>
    </row>
    <row r="333" spans="1:23" x14ac:dyDescent="0.35">
      <c r="A333" t="s">
        <v>550</v>
      </c>
      <c r="B333" t="s">
        <v>59</v>
      </c>
      <c r="C333">
        <v>30</v>
      </c>
      <c r="D333" t="s">
        <v>18</v>
      </c>
      <c r="E333" t="s">
        <v>19</v>
      </c>
      <c r="F333" t="s">
        <v>60</v>
      </c>
      <c r="G333" t="s">
        <v>13</v>
      </c>
      <c r="H333" t="s">
        <v>15</v>
      </c>
      <c r="I333" t="s">
        <v>14</v>
      </c>
      <c r="J333" t="s">
        <v>91</v>
      </c>
      <c r="K333" t="s">
        <v>90</v>
      </c>
      <c r="L333" s="5">
        <v>45844</v>
      </c>
      <c r="M333" s="7">
        <v>0.40277777777777779</v>
      </c>
      <c r="N333" s="7">
        <v>0.51736111111111116</v>
      </c>
      <c r="O333" t="s">
        <v>123</v>
      </c>
      <c r="P333" t="s">
        <v>118</v>
      </c>
      <c r="Q333">
        <v>310</v>
      </c>
      <c r="R333">
        <v>20.5</v>
      </c>
      <c r="S333" t="s">
        <v>101</v>
      </c>
      <c r="T333">
        <v>35</v>
      </c>
      <c r="U333" t="s">
        <v>95</v>
      </c>
      <c r="V333" t="s">
        <v>96</v>
      </c>
      <c r="W333">
        <v>6200</v>
      </c>
    </row>
    <row r="334" spans="1:23" x14ac:dyDescent="0.35">
      <c r="A334" t="s">
        <v>551</v>
      </c>
      <c r="B334" t="s">
        <v>62</v>
      </c>
      <c r="C334">
        <v>52</v>
      </c>
      <c r="D334" t="s">
        <v>11</v>
      </c>
      <c r="E334" t="s">
        <v>26</v>
      </c>
      <c r="F334" t="s">
        <v>63</v>
      </c>
      <c r="G334" t="s">
        <v>21</v>
      </c>
      <c r="H334" t="s">
        <v>22</v>
      </c>
      <c r="I334" t="s">
        <v>23</v>
      </c>
      <c r="J334" t="s">
        <v>97</v>
      </c>
      <c r="K334" t="s">
        <v>98</v>
      </c>
      <c r="L334" s="5">
        <v>45845</v>
      </c>
      <c r="M334" s="7">
        <v>0.96875</v>
      </c>
      <c r="N334" s="7">
        <v>0.12152777777777778</v>
      </c>
      <c r="O334" t="s">
        <v>124</v>
      </c>
      <c r="P334" t="s">
        <v>100</v>
      </c>
      <c r="Q334">
        <v>1200</v>
      </c>
      <c r="R334">
        <v>28</v>
      </c>
      <c r="S334" t="s">
        <v>94</v>
      </c>
      <c r="T334">
        <v>0</v>
      </c>
      <c r="U334" t="s">
        <v>107</v>
      </c>
      <c r="V334" t="s">
        <v>125</v>
      </c>
      <c r="W334">
        <v>14000</v>
      </c>
    </row>
    <row r="335" spans="1:23" x14ac:dyDescent="0.35">
      <c r="A335" t="s">
        <v>552</v>
      </c>
      <c r="B335" t="s">
        <v>65</v>
      </c>
      <c r="C335">
        <v>24</v>
      </c>
      <c r="D335" t="s">
        <v>18</v>
      </c>
      <c r="E335" t="s">
        <v>12</v>
      </c>
      <c r="F335" s="3" t="s">
        <v>66</v>
      </c>
      <c r="G335" t="s">
        <v>13</v>
      </c>
      <c r="H335" t="s">
        <v>39</v>
      </c>
      <c r="I335" t="s">
        <v>15</v>
      </c>
      <c r="J335" t="s">
        <v>113</v>
      </c>
      <c r="K335" t="s">
        <v>91</v>
      </c>
      <c r="L335" s="5">
        <v>45845</v>
      </c>
      <c r="M335" s="7">
        <v>0.25694444444444442</v>
      </c>
      <c r="N335" s="7">
        <v>0.3611111111111111</v>
      </c>
      <c r="O335" t="s">
        <v>126</v>
      </c>
      <c r="P335" t="s">
        <v>93</v>
      </c>
      <c r="Q335">
        <v>160</v>
      </c>
      <c r="R335">
        <v>10.4</v>
      </c>
      <c r="S335" t="s">
        <v>111</v>
      </c>
      <c r="T335">
        <v>0</v>
      </c>
      <c r="U335" t="s">
        <v>102</v>
      </c>
      <c r="V335" t="s">
        <v>112</v>
      </c>
      <c r="W335">
        <v>900</v>
      </c>
    </row>
    <row r="336" spans="1:23" x14ac:dyDescent="0.35">
      <c r="A336" t="s">
        <v>553</v>
      </c>
      <c r="B336" t="s">
        <v>68</v>
      </c>
      <c r="C336">
        <v>40</v>
      </c>
      <c r="D336" t="s">
        <v>11</v>
      </c>
      <c r="E336" t="s">
        <v>37</v>
      </c>
      <c r="F336" t="s">
        <v>69</v>
      </c>
      <c r="G336" t="s">
        <v>21</v>
      </c>
      <c r="H336" t="s">
        <v>33</v>
      </c>
      <c r="I336" t="s">
        <v>34</v>
      </c>
      <c r="J336" t="s">
        <v>108</v>
      </c>
      <c r="K336" t="s">
        <v>109</v>
      </c>
      <c r="L336" s="5">
        <v>45846</v>
      </c>
      <c r="M336" s="7">
        <v>0.84722222222222221</v>
      </c>
      <c r="N336" s="7">
        <v>9.0277777777777776E-2</v>
      </c>
      <c r="O336" t="s">
        <v>127</v>
      </c>
      <c r="P336" t="s">
        <v>100</v>
      </c>
      <c r="Q336">
        <v>1340</v>
      </c>
      <c r="R336">
        <v>22.6</v>
      </c>
      <c r="S336" t="s">
        <v>94</v>
      </c>
      <c r="T336">
        <v>0</v>
      </c>
      <c r="U336" t="s">
        <v>95</v>
      </c>
      <c r="V336" t="s">
        <v>103</v>
      </c>
      <c r="W336">
        <v>8700</v>
      </c>
    </row>
    <row r="337" spans="1:23" x14ac:dyDescent="0.35">
      <c r="A337" t="s">
        <v>554</v>
      </c>
      <c r="B337" t="s">
        <v>71</v>
      </c>
      <c r="C337">
        <v>33</v>
      </c>
      <c r="D337" t="s">
        <v>18</v>
      </c>
      <c r="E337" t="s">
        <v>43</v>
      </c>
      <c r="F337" t="s">
        <v>72</v>
      </c>
      <c r="G337" t="s">
        <v>21</v>
      </c>
      <c r="H337" t="s">
        <v>15</v>
      </c>
      <c r="I337" t="s">
        <v>40</v>
      </c>
      <c r="J337" t="s">
        <v>91</v>
      </c>
      <c r="K337" t="s">
        <v>114</v>
      </c>
      <c r="L337" s="5">
        <v>45846</v>
      </c>
      <c r="M337" s="7">
        <v>0.11805555555555555</v>
      </c>
      <c r="N337" s="7">
        <v>0.64583333333333337</v>
      </c>
      <c r="O337" t="s">
        <v>128</v>
      </c>
      <c r="P337" t="s">
        <v>106</v>
      </c>
      <c r="Q337">
        <v>2600</v>
      </c>
      <c r="R337">
        <v>31.4</v>
      </c>
      <c r="S337" t="s">
        <v>101</v>
      </c>
      <c r="T337">
        <v>90</v>
      </c>
      <c r="U337" t="s">
        <v>107</v>
      </c>
      <c r="V337" t="s">
        <v>96</v>
      </c>
      <c r="W337">
        <v>15000</v>
      </c>
    </row>
    <row r="338" spans="1:23" x14ac:dyDescent="0.35">
      <c r="A338" t="s">
        <v>555</v>
      </c>
      <c r="B338" t="s">
        <v>74</v>
      </c>
      <c r="C338">
        <v>47</v>
      </c>
      <c r="D338" t="s">
        <v>11</v>
      </c>
      <c r="E338" t="s">
        <v>19</v>
      </c>
      <c r="F338" t="s">
        <v>75</v>
      </c>
      <c r="G338" t="s">
        <v>21</v>
      </c>
      <c r="H338" t="s">
        <v>14</v>
      </c>
      <c r="I338" t="s">
        <v>23</v>
      </c>
      <c r="J338" t="s">
        <v>90</v>
      </c>
      <c r="K338" t="s">
        <v>98</v>
      </c>
      <c r="L338" s="5">
        <v>45847</v>
      </c>
      <c r="M338" s="7">
        <v>0.54513888888888884</v>
      </c>
      <c r="N338" s="7">
        <v>0.71875</v>
      </c>
      <c r="O338" t="s">
        <v>129</v>
      </c>
      <c r="P338" t="s">
        <v>93</v>
      </c>
      <c r="Q338">
        <v>390</v>
      </c>
      <c r="R338">
        <v>16.100000000000001</v>
      </c>
      <c r="S338" t="s">
        <v>94</v>
      </c>
      <c r="T338">
        <v>0</v>
      </c>
      <c r="U338" t="s">
        <v>95</v>
      </c>
      <c r="V338" t="s">
        <v>103</v>
      </c>
      <c r="W338">
        <v>3000</v>
      </c>
    </row>
    <row r="339" spans="1:23" x14ac:dyDescent="0.35">
      <c r="A339" t="s">
        <v>556</v>
      </c>
      <c r="B339" t="s">
        <v>131</v>
      </c>
      <c r="C339">
        <v>28</v>
      </c>
      <c r="D339" t="s">
        <v>18</v>
      </c>
      <c r="E339" t="s">
        <v>52</v>
      </c>
      <c r="F339" t="s">
        <v>132</v>
      </c>
      <c r="G339" t="s">
        <v>21</v>
      </c>
      <c r="H339" t="s">
        <v>33</v>
      </c>
      <c r="I339" t="s">
        <v>28</v>
      </c>
      <c r="J339" t="s">
        <v>108</v>
      </c>
      <c r="K339" t="s">
        <v>104</v>
      </c>
      <c r="L339" s="5">
        <v>45847</v>
      </c>
      <c r="M339" s="7">
        <v>0.32291666666666669</v>
      </c>
      <c r="N339" s="7">
        <v>0.75694444444444442</v>
      </c>
      <c r="O339" t="s">
        <v>133</v>
      </c>
      <c r="P339" t="s">
        <v>118</v>
      </c>
      <c r="Q339">
        <v>980</v>
      </c>
      <c r="R339">
        <v>21</v>
      </c>
      <c r="S339" t="s">
        <v>111</v>
      </c>
      <c r="T339">
        <v>0</v>
      </c>
      <c r="U339" t="s">
        <v>102</v>
      </c>
      <c r="V339" t="s">
        <v>96</v>
      </c>
      <c r="W339">
        <v>7200</v>
      </c>
    </row>
    <row r="340" spans="1:23" x14ac:dyDescent="0.35">
      <c r="A340" t="s">
        <v>557</v>
      </c>
      <c r="B340" t="s">
        <v>135</v>
      </c>
      <c r="C340">
        <v>39</v>
      </c>
      <c r="D340" t="s">
        <v>11</v>
      </c>
      <c r="E340" t="s">
        <v>12</v>
      </c>
      <c r="F340" s="3" t="s">
        <v>136</v>
      </c>
      <c r="G340" t="s">
        <v>13</v>
      </c>
      <c r="H340" t="s">
        <v>15</v>
      </c>
      <c r="I340" t="s">
        <v>22</v>
      </c>
      <c r="J340" t="s">
        <v>91</v>
      </c>
      <c r="K340" t="s">
        <v>97</v>
      </c>
      <c r="L340" s="5">
        <v>45848</v>
      </c>
      <c r="M340" s="7">
        <v>0.47916666666666669</v>
      </c>
      <c r="N340" s="7">
        <v>0.56944444444444442</v>
      </c>
      <c r="O340" t="s">
        <v>137</v>
      </c>
      <c r="P340" t="s">
        <v>93</v>
      </c>
      <c r="Q340">
        <v>110</v>
      </c>
      <c r="R340">
        <v>8.6</v>
      </c>
      <c r="S340" t="s">
        <v>94</v>
      </c>
      <c r="T340">
        <v>0</v>
      </c>
      <c r="U340" t="s">
        <v>95</v>
      </c>
      <c r="V340" t="s">
        <v>103</v>
      </c>
      <c r="W340">
        <v>1500</v>
      </c>
    </row>
    <row r="341" spans="1:23" x14ac:dyDescent="0.35">
      <c r="A341" t="s">
        <v>558</v>
      </c>
      <c r="B341" t="s">
        <v>139</v>
      </c>
      <c r="C341">
        <v>26</v>
      </c>
      <c r="D341" t="s">
        <v>18</v>
      </c>
      <c r="E341" t="s">
        <v>19</v>
      </c>
      <c r="F341" t="s">
        <v>140</v>
      </c>
      <c r="G341" t="s">
        <v>13</v>
      </c>
      <c r="H341" t="s">
        <v>57</v>
      </c>
      <c r="I341" t="s">
        <v>39</v>
      </c>
      <c r="J341" t="s">
        <v>121</v>
      </c>
      <c r="K341" t="s">
        <v>113</v>
      </c>
      <c r="L341" s="5">
        <v>45848</v>
      </c>
      <c r="M341" s="7">
        <v>0.66666666666666663</v>
      </c>
      <c r="N341" s="7">
        <v>0.76736111111111116</v>
      </c>
      <c r="O341" t="s">
        <v>141</v>
      </c>
      <c r="P341" t="s">
        <v>93</v>
      </c>
      <c r="Q341">
        <v>140</v>
      </c>
      <c r="R341">
        <v>11.2</v>
      </c>
      <c r="S341" t="s">
        <v>101</v>
      </c>
      <c r="T341">
        <v>20</v>
      </c>
      <c r="U341" t="s">
        <v>95</v>
      </c>
      <c r="V341" t="s">
        <v>96</v>
      </c>
      <c r="W341">
        <v>2700</v>
      </c>
    </row>
    <row r="342" spans="1:23" x14ac:dyDescent="0.35">
      <c r="A342" t="s">
        <v>559</v>
      </c>
      <c r="B342" t="s">
        <v>143</v>
      </c>
      <c r="C342">
        <v>50</v>
      </c>
      <c r="D342" t="s">
        <v>11</v>
      </c>
      <c r="E342" t="s">
        <v>26</v>
      </c>
      <c r="F342" t="s">
        <v>144</v>
      </c>
      <c r="G342" t="s">
        <v>21</v>
      </c>
      <c r="H342" t="s">
        <v>14</v>
      </c>
      <c r="I342" t="s">
        <v>34</v>
      </c>
      <c r="J342" t="s">
        <v>90</v>
      </c>
      <c r="K342" t="s">
        <v>109</v>
      </c>
      <c r="L342" s="5">
        <v>45849</v>
      </c>
      <c r="M342" s="7">
        <v>0.88194444444444442</v>
      </c>
      <c r="N342" s="7">
        <v>0.2013888888888889</v>
      </c>
      <c r="O342" t="s">
        <v>145</v>
      </c>
      <c r="P342" t="s">
        <v>100</v>
      </c>
      <c r="Q342">
        <v>1450</v>
      </c>
      <c r="R342">
        <v>25.9</v>
      </c>
      <c r="S342" t="s">
        <v>94</v>
      </c>
      <c r="T342">
        <v>0</v>
      </c>
      <c r="U342" t="s">
        <v>107</v>
      </c>
      <c r="V342" t="s">
        <v>125</v>
      </c>
      <c r="W342">
        <v>11800</v>
      </c>
    </row>
    <row r="343" spans="1:23" x14ac:dyDescent="0.35">
      <c r="A343" t="s">
        <v>560</v>
      </c>
      <c r="B343" t="s">
        <v>222</v>
      </c>
      <c r="C343">
        <v>31</v>
      </c>
      <c r="D343" t="s">
        <v>18</v>
      </c>
      <c r="E343" t="s">
        <v>31</v>
      </c>
      <c r="F343" t="s">
        <v>148</v>
      </c>
      <c r="G343" t="s">
        <v>21</v>
      </c>
      <c r="H343" t="s">
        <v>15</v>
      </c>
      <c r="I343" t="s">
        <v>23</v>
      </c>
      <c r="J343" t="s">
        <v>91</v>
      </c>
      <c r="K343" t="s">
        <v>98</v>
      </c>
      <c r="L343" s="5">
        <v>45849</v>
      </c>
      <c r="M343" s="7">
        <v>0.18402777777777779</v>
      </c>
      <c r="N343" s="7">
        <v>0.33333333333333331</v>
      </c>
      <c r="O343" t="s">
        <v>149</v>
      </c>
      <c r="P343" t="s">
        <v>93</v>
      </c>
      <c r="Q343">
        <v>330</v>
      </c>
      <c r="R343">
        <v>13.5</v>
      </c>
      <c r="S343" t="s">
        <v>111</v>
      </c>
      <c r="T343">
        <v>0</v>
      </c>
      <c r="U343" t="s">
        <v>102</v>
      </c>
      <c r="V343" t="s">
        <v>112</v>
      </c>
      <c r="W343">
        <v>2100</v>
      </c>
    </row>
    <row r="344" spans="1:23" x14ac:dyDescent="0.35">
      <c r="A344" t="s">
        <v>561</v>
      </c>
      <c r="B344" t="s">
        <v>224</v>
      </c>
      <c r="C344">
        <v>44</v>
      </c>
      <c r="D344" t="s">
        <v>11</v>
      </c>
      <c r="E344" t="s">
        <v>12</v>
      </c>
      <c r="F344" s="11" t="s">
        <v>225</v>
      </c>
      <c r="G344" t="s">
        <v>13</v>
      </c>
      <c r="H344" t="s">
        <v>22</v>
      </c>
      <c r="I344" t="s">
        <v>57</v>
      </c>
      <c r="J344" t="s">
        <v>97</v>
      </c>
      <c r="K344" t="s">
        <v>121</v>
      </c>
      <c r="L344" s="5">
        <v>45850</v>
      </c>
      <c r="M344" s="7">
        <v>0.38194444444444442</v>
      </c>
      <c r="N344" s="7">
        <v>0.4861111111111111</v>
      </c>
      <c r="O344" t="s">
        <v>226</v>
      </c>
      <c r="P344" t="s">
        <v>93</v>
      </c>
      <c r="Q344">
        <v>125</v>
      </c>
      <c r="R344">
        <v>12</v>
      </c>
      <c r="S344" t="s">
        <v>94</v>
      </c>
      <c r="T344">
        <v>0</v>
      </c>
      <c r="U344" t="s">
        <v>95</v>
      </c>
      <c r="V344" t="s">
        <v>103</v>
      </c>
      <c r="W344">
        <v>2100</v>
      </c>
    </row>
    <row r="345" spans="1:23" x14ac:dyDescent="0.35">
      <c r="A345" t="s">
        <v>562</v>
      </c>
      <c r="B345" t="s">
        <v>30</v>
      </c>
      <c r="C345">
        <v>25</v>
      </c>
      <c r="D345" t="s">
        <v>18</v>
      </c>
      <c r="E345" t="s">
        <v>19</v>
      </c>
      <c r="F345" t="s">
        <v>20</v>
      </c>
      <c r="G345" t="s">
        <v>21</v>
      </c>
      <c r="H345" t="s">
        <v>15</v>
      </c>
      <c r="I345" t="s">
        <v>28</v>
      </c>
      <c r="J345" t="s">
        <v>91</v>
      </c>
      <c r="K345" t="s">
        <v>104</v>
      </c>
      <c r="L345" s="5">
        <v>45850</v>
      </c>
      <c r="M345" s="7">
        <v>5.2083333333333336E-2</v>
      </c>
      <c r="N345" s="7">
        <v>0.40972222222222221</v>
      </c>
      <c r="O345" t="s">
        <v>99</v>
      </c>
      <c r="P345" t="s">
        <v>100</v>
      </c>
      <c r="Q345">
        <v>860</v>
      </c>
      <c r="R345">
        <v>24</v>
      </c>
      <c r="S345" t="s">
        <v>101</v>
      </c>
      <c r="T345">
        <v>50</v>
      </c>
      <c r="U345" t="s">
        <v>102</v>
      </c>
      <c r="V345" t="s">
        <v>96</v>
      </c>
      <c r="W345">
        <v>8400</v>
      </c>
    </row>
    <row r="346" spans="1:23" x14ac:dyDescent="0.35">
      <c r="A346" t="s">
        <v>563</v>
      </c>
      <c r="B346" t="s">
        <v>197</v>
      </c>
      <c r="C346">
        <v>38</v>
      </c>
      <c r="D346" t="s">
        <v>11</v>
      </c>
      <c r="E346" t="s">
        <v>37</v>
      </c>
      <c r="F346" t="s">
        <v>38</v>
      </c>
      <c r="G346" t="s">
        <v>21</v>
      </c>
      <c r="H346" t="s">
        <v>39</v>
      </c>
      <c r="I346" t="s">
        <v>40</v>
      </c>
      <c r="J346" t="s">
        <v>113</v>
      </c>
      <c r="K346" t="s">
        <v>114</v>
      </c>
      <c r="L346" s="5">
        <v>45851</v>
      </c>
      <c r="M346" s="7">
        <v>0.91666666666666663</v>
      </c>
      <c r="N346" s="7">
        <v>0.57291666666666663</v>
      </c>
      <c r="O346" t="s">
        <v>115</v>
      </c>
      <c r="P346" t="s">
        <v>100</v>
      </c>
      <c r="Q346">
        <v>1980</v>
      </c>
      <c r="R346">
        <v>27.5</v>
      </c>
      <c r="S346" t="s">
        <v>94</v>
      </c>
      <c r="T346">
        <v>0</v>
      </c>
      <c r="U346" t="s">
        <v>102</v>
      </c>
      <c r="V346" t="s">
        <v>103</v>
      </c>
      <c r="W346">
        <v>9700</v>
      </c>
    </row>
    <row r="347" spans="1:23" x14ac:dyDescent="0.35">
      <c r="A347" t="s">
        <v>564</v>
      </c>
      <c r="B347" t="s">
        <v>42</v>
      </c>
      <c r="C347">
        <v>31</v>
      </c>
      <c r="D347" t="s">
        <v>18</v>
      </c>
      <c r="E347" t="s">
        <v>43</v>
      </c>
      <c r="F347" t="s">
        <v>44</v>
      </c>
      <c r="G347" t="s">
        <v>21</v>
      </c>
      <c r="H347" t="s">
        <v>15</v>
      </c>
      <c r="I347" t="s">
        <v>45</v>
      </c>
      <c r="J347" t="s">
        <v>91</v>
      </c>
      <c r="K347" t="s">
        <v>116</v>
      </c>
      <c r="L347" s="5">
        <v>45851</v>
      </c>
      <c r="M347" s="7">
        <v>0.15625</v>
      </c>
      <c r="N347" s="7">
        <v>0.47222222222222221</v>
      </c>
      <c r="O347" t="s">
        <v>117</v>
      </c>
      <c r="P347" t="s">
        <v>118</v>
      </c>
      <c r="Q347">
        <v>980</v>
      </c>
      <c r="R347">
        <v>19.3</v>
      </c>
      <c r="S347" t="s">
        <v>94</v>
      </c>
      <c r="T347">
        <v>0</v>
      </c>
      <c r="U347" t="s">
        <v>95</v>
      </c>
      <c r="V347" t="s">
        <v>96</v>
      </c>
      <c r="W347">
        <v>5400</v>
      </c>
    </row>
    <row r="348" spans="1:23" x14ac:dyDescent="0.35">
      <c r="A348" t="s">
        <v>565</v>
      </c>
      <c r="B348" t="s">
        <v>231</v>
      </c>
      <c r="C348">
        <v>35</v>
      </c>
      <c r="D348" t="s">
        <v>11</v>
      </c>
      <c r="E348" t="s">
        <v>26</v>
      </c>
      <c r="F348" t="s">
        <v>232</v>
      </c>
      <c r="G348" t="s">
        <v>21</v>
      </c>
      <c r="H348" t="s">
        <v>22</v>
      </c>
      <c r="I348" t="s">
        <v>28</v>
      </c>
      <c r="J348" t="s">
        <v>97</v>
      </c>
      <c r="K348" t="s">
        <v>104</v>
      </c>
      <c r="L348" s="5">
        <v>45852</v>
      </c>
      <c r="M348" s="7">
        <v>9.0277777777777776E-2</v>
      </c>
      <c r="N348" s="7">
        <v>0.36805555555555558</v>
      </c>
      <c r="O348" t="s">
        <v>119</v>
      </c>
      <c r="P348" t="s">
        <v>100</v>
      </c>
      <c r="Q348">
        <v>1800</v>
      </c>
      <c r="R348">
        <v>26.5</v>
      </c>
      <c r="S348" t="s">
        <v>94</v>
      </c>
      <c r="T348">
        <v>0</v>
      </c>
      <c r="U348" t="s">
        <v>107</v>
      </c>
      <c r="V348" t="s">
        <v>103</v>
      </c>
      <c r="W348">
        <v>12000</v>
      </c>
    </row>
    <row r="349" spans="1:23" x14ac:dyDescent="0.35">
      <c r="A349" t="s">
        <v>566</v>
      </c>
      <c r="B349" t="s">
        <v>234</v>
      </c>
      <c r="C349">
        <v>28</v>
      </c>
      <c r="D349" t="s">
        <v>18</v>
      </c>
      <c r="E349" t="s">
        <v>12</v>
      </c>
      <c r="F349" s="3" t="s">
        <v>235</v>
      </c>
      <c r="G349" t="s">
        <v>13</v>
      </c>
      <c r="H349" t="s">
        <v>14</v>
      </c>
      <c r="I349" t="s">
        <v>15</v>
      </c>
      <c r="J349" t="s">
        <v>90</v>
      </c>
      <c r="K349" t="s">
        <v>91</v>
      </c>
      <c r="L349" s="5">
        <v>45852</v>
      </c>
      <c r="M349" s="7">
        <v>0.28125</v>
      </c>
      <c r="N349" s="7">
        <v>0.3888888888888889</v>
      </c>
      <c r="O349" t="s">
        <v>236</v>
      </c>
      <c r="P349" t="s">
        <v>93</v>
      </c>
      <c r="Q349">
        <v>150</v>
      </c>
      <c r="R349">
        <v>11.2</v>
      </c>
      <c r="S349" t="s">
        <v>101</v>
      </c>
      <c r="T349">
        <v>30</v>
      </c>
      <c r="U349" t="s">
        <v>102</v>
      </c>
      <c r="V349" t="s">
        <v>96</v>
      </c>
      <c r="W349">
        <v>3200</v>
      </c>
    </row>
    <row r="350" spans="1:23" x14ac:dyDescent="0.35">
      <c r="A350" t="s">
        <v>567</v>
      </c>
      <c r="B350" t="s">
        <v>25</v>
      </c>
      <c r="C350">
        <v>41</v>
      </c>
      <c r="D350" t="s">
        <v>11</v>
      </c>
      <c r="E350" t="s">
        <v>26</v>
      </c>
      <c r="F350" t="s">
        <v>27</v>
      </c>
      <c r="G350" t="s">
        <v>21</v>
      </c>
      <c r="H350" t="s">
        <v>15</v>
      </c>
      <c r="I350" t="s">
        <v>28</v>
      </c>
      <c r="J350" t="s">
        <v>91</v>
      </c>
      <c r="K350" t="s">
        <v>104</v>
      </c>
      <c r="L350" s="5">
        <v>45853</v>
      </c>
      <c r="M350" s="7">
        <v>5.5555555555555552E-2</v>
      </c>
      <c r="N350" s="7">
        <v>0.41319444444444442</v>
      </c>
      <c r="O350" t="s">
        <v>105</v>
      </c>
      <c r="P350" t="s">
        <v>106</v>
      </c>
      <c r="Q350">
        <v>2450</v>
      </c>
      <c r="R350">
        <v>30.2</v>
      </c>
      <c r="S350" t="s">
        <v>94</v>
      </c>
      <c r="T350">
        <v>0</v>
      </c>
      <c r="U350" t="s">
        <v>107</v>
      </c>
      <c r="V350" t="s">
        <v>103</v>
      </c>
      <c r="W350">
        <v>13200</v>
      </c>
    </row>
    <row r="351" spans="1:23" x14ac:dyDescent="0.35">
      <c r="A351" t="s">
        <v>568</v>
      </c>
      <c r="B351" t="s">
        <v>30</v>
      </c>
      <c r="C351">
        <v>25</v>
      </c>
      <c r="D351" t="s">
        <v>18</v>
      </c>
      <c r="E351" t="s">
        <v>31</v>
      </c>
      <c r="F351" t="s">
        <v>32</v>
      </c>
      <c r="G351" t="s">
        <v>21</v>
      </c>
      <c r="H351" t="s">
        <v>33</v>
      </c>
      <c r="I351" t="s">
        <v>34</v>
      </c>
      <c r="J351" t="s">
        <v>108</v>
      </c>
      <c r="K351" t="s">
        <v>109</v>
      </c>
      <c r="L351" s="5">
        <v>45853</v>
      </c>
      <c r="M351" s="7">
        <v>0.34027777777777779</v>
      </c>
      <c r="N351" s="7">
        <v>0.58333333333333337</v>
      </c>
      <c r="O351" t="s">
        <v>110</v>
      </c>
      <c r="P351" t="s">
        <v>93</v>
      </c>
      <c r="Q351">
        <v>420</v>
      </c>
      <c r="R351">
        <v>15.6</v>
      </c>
      <c r="S351" t="s">
        <v>111</v>
      </c>
      <c r="T351">
        <v>0</v>
      </c>
      <c r="U351" t="s">
        <v>95</v>
      </c>
      <c r="V351" t="s">
        <v>112</v>
      </c>
      <c r="W351">
        <v>3500</v>
      </c>
    </row>
    <row r="352" spans="1:23" x14ac:dyDescent="0.35">
      <c r="A352" t="s">
        <v>569</v>
      </c>
      <c r="B352" t="s">
        <v>36</v>
      </c>
      <c r="C352">
        <v>38</v>
      </c>
      <c r="D352" t="s">
        <v>11</v>
      </c>
      <c r="E352" t="s">
        <v>37</v>
      </c>
      <c r="F352" t="s">
        <v>38</v>
      </c>
      <c r="G352" t="s">
        <v>21</v>
      </c>
      <c r="H352" t="s">
        <v>39</v>
      </c>
      <c r="I352" t="s">
        <v>40</v>
      </c>
      <c r="J352" t="s">
        <v>113</v>
      </c>
      <c r="K352" t="s">
        <v>114</v>
      </c>
      <c r="L352" s="5">
        <v>45854</v>
      </c>
      <c r="M352" s="7">
        <v>0.91666666666666663</v>
      </c>
      <c r="N352" s="7">
        <v>0.57291666666666663</v>
      </c>
      <c r="O352" t="s">
        <v>115</v>
      </c>
      <c r="P352" t="s">
        <v>100</v>
      </c>
      <c r="Q352">
        <v>1980</v>
      </c>
      <c r="R352">
        <v>27.5</v>
      </c>
      <c r="S352" t="s">
        <v>94</v>
      </c>
      <c r="T352">
        <v>0</v>
      </c>
      <c r="U352" t="s">
        <v>102</v>
      </c>
      <c r="V352" t="s">
        <v>103</v>
      </c>
      <c r="W352">
        <v>9700</v>
      </c>
    </row>
    <row r="353" spans="1:23" x14ac:dyDescent="0.35">
      <c r="A353" t="s">
        <v>570</v>
      </c>
      <c r="B353" t="s">
        <v>42</v>
      </c>
      <c r="C353">
        <v>31</v>
      </c>
      <c r="D353" t="s">
        <v>18</v>
      </c>
      <c r="E353" t="s">
        <v>43</v>
      </c>
      <c r="F353" t="s">
        <v>44</v>
      </c>
      <c r="G353" t="s">
        <v>21</v>
      </c>
      <c r="H353" t="s">
        <v>15</v>
      </c>
      <c r="I353" t="s">
        <v>45</v>
      </c>
      <c r="J353" t="s">
        <v>91</v>
      </c>
      <c r="K353" t="s">
        <v>116</v>
      </c>
      <c r="L353" s="5">
        <v>45854</v>
      </c>
      <c r="M353" s="7">
        <v>0.15625</v>
      </c>
      <c r="N353" s="7">
        <v>0.47222222222222221</v>
      </c>
      <c r="O353" t="s">
        <v>117</v>
      </c>
      <c r="P353" t="s">
        <v>118</v>
      </c>
      <c r="Q353">
        <v>980</v>
      </c>
      <c r="R353">
        <v>19.3</v>
      </c>
      <c r="S353" t="s">
        <v>101</v>
      </c>
      <c r="T353">
        <v>35</v>
      </c>
      <c r="U353" t="s">
        <v>95</v>
      </c>
      <c r="V353" t="s">
        <v>96</v>
      </c>
      <c r="W353">
        <v>5400</v>
      </c>
    </row>
    <row r="354" spans="1:23" x14ac:dyDescent="0.35">
      <c r="A354" t="s">
        <v>571</v>
      </c>
      <c r="B354" t="s">
        <v>47</v>
      </c>
      <c r="C354">
        <v>45</v>
      </c>
      <c r="D354" t="s">
        <v>11</v>
      </c>
      <c r="E354" t="s">
        <v>48</v>
      </c>
      <c r="F354" t="s">
        <v>49</v>
      </c>
      <c r="G354" t="s">
        <v>21</v>
      </c>
      <c r="H354" t="s">
        <v>14</v>
      </c>
      <c r="I354" t="s">
        <v>28</v>
      </c>
      <c r="J354" t="s">
        <v>90</v>
      </c>
      <c r="K354" t="s">
        <v>104</v>
      </c>
      <c r="L354" s="5">
        <v>45855</v>
      </c>
      <c r="M354" s="7">
        <v>0.42708333333333331</v>
      </c>
      <c r="N354" s="7">
        <v>0.77083333333333337</v>
      </c>
      <c r="O354" t="s">
        <v>119</v>
      </c>
      <c r="P354" t="s">
        <v>100</v>
      </c>
      <c r="Q354">
        <v>1650</v>
      </c>
      <c r="R354">
        <v>26.8</v>
      </c>
      <c r="S354" t="s">
        <v>94</v>
      </c>
      <c r="T354">
        <v>0</v>
      </c>
      <c r="U354" t="s">
        <v>107</v>
      </c>
      <c r="V354" t="s">
        <v>103</v>
      </c>
      <c r="W354">
        <v>11000</v>
      </c>
    </row>
    <row r="355" spans="1:23" x14ac:dyDescent="0.35">
      <c r="A355" t="s">
        <v>572</v>
      </c>
      <c r="B355" t="s">
        <v>51</v>
      </c>
      <c r="C355">
        <v>27</v>
      </c>
      <c r="D355" t="s">
        <v>18</v>
      </c>
      <c r="E355" t="s">
        <v>52</v>
      </c>
      <c r="F355" t="s">
        <v>53</v>
      </c>
      <c r="G355" t="s">
        <v>21</v>
      </c>
      <c r="H355" t="s">
        <v>22</v>
      </c>
      <c r="I355" t="s">
        <v>40</v>
      </c>
      <c r="J355" t="s">
        <v>97</v>
      </c>
      <c r="K355" t="s">
        <v>114</v>
      </c>
      <c r="L355" s="5">
        <v>45855</v>
      </c>
      <c r="M355" s="7">
        <v>0.24305555555555555</v>
      </c>
      <c r="N355" s="7">
        <v>0.72222222222222221</v>
      </c>
      <c r="O355" t="s">
        <v>120</v>
      </c>
      <c r="P355" t="s">
        <v>93</v>
      </c>
      <c r="Q355">
        <v>740</v>
      </c>
      <c r="R355">
        <v>17.2</v>
      </c>
      <c r="S355" t="s">
        <v>111</v>
      </c>
      <c r="T355">
        <v>0</v>
      </c>
      <c r="U355" t="s">
        <v>95</v>
      </c>
      <c r="V355" t="s">
        <v>96</v>
      </c>
      <c r="W355">
        <v>4100</v>
      </c>
    </row>
    <row r="356" spans="1:23" x14ac:dyDescent="0.35">
      <c r="A356" t="s">
        <v>573</v>
      </c>
      <c r="B356" t="s">
        <v>55</v>
      </c>
      <c r="C356">
        <v>36</v>
      </c>
      <c r="D356" t="s">
        <v>11</v>
      </c>
      <c r="E356" t="s">
        <v>12</v>
      </c>
      <c r="F356" s="3" t="s">
        <v>56</v>
      </c>
      <c r="G356" t="s">
        <v>13</v>
      </c>
      <c r="H356" t="s">
        <v>57</v>
      </c>
      <c r="I356" t="s">
        <v>33</v>
      </c>
      <c r="J356" t="s">
        <v>121</v>
      </c>
      <c r="K356" t="s">
        <v>108</v>
      </c>
      <c r="L356" s="5">
        <v>45856</v>
      </c>
      <c r="M356" s="7">
        <v>0.60069444444444442</v>
      </c>
      <c r="N356" s="7">
        <v>0.71527777777777779</v>
      </c>
      <c r="O356" t="s">
        <v>122</v>
      </c>
      <c r="P356" t="s">
        <v>93</v>
      </c>
      <c r="Q356">
        <v>125</v>
      </c>
      <c r="R356">
        <v>12</v>
      </c>
      <c r="S356" t="s">
        <v>94</v>
      </c>
      <c r="T356">
        <v>0</v>
      </c>
      <c r="U356" t="s">
        <v>102</v>
      </c>
      <c r="V356" t="s">
        <v>103</v>
      </c>
      <c r="W356">
        <v>1800</v>
      </c>
    </row>
    <row r="357" spans="1:23" x14ac:dyDescent="0.35">
      <c r="A357" t="s">
        <v>574</v>
      </c>
      <c r="B357" t="s">
        <v>59</v>
      </c>
      <c r="C357">
        <v>30</v>
      </c>
      <c r="D357" t="s">
        <v>18</v>
      </c>
      <c r="E357" t="s">
        <v>19</v>
      </c>
      <c r="F357" t="s">
        <v>60</v>
      </c>
      <c r="G357" t="s">
        <v>13</v>
      </c>
      <c r="H357" t="s">
        <v>15</v>
      </c>
      <c r="I357" t="s">
        <v>14</v>
      </c>
      <c r="J357" t="s">
        <v>91</v>
      </c>
      <c r="K357" t="s">
        <v>90</v>
      </c>
      <c r="L357" s="5">
        <v>45856</v>
      </c>
      <c r="M357" s="7">
        <v>0.40277777777777779</v>
      </c>
      <c r="N357" s="7">
        <v>0.51736111111111116</v>
      </c>
      <c r="O357" t="s">
        <v>123</v>
      </c>
      <c r="P357" t="s">
        <v>118</v>
      </c>
      <c r="Q357">
        <v>310</v>
      </c>
      <c r="R357">
        <v>20.5</v>
      </c>
      <c r="S357" t="s">
        <v>101</v>
      </c>
      <c r="T357">
        <v>35</v>
      </c>
      <c r="U357" t="s">
        <v>95</v>
      </c>
      <c r="V357" t="s">
        <v>96</v>
      </c>
      <c r="W357">
        <v>6200</v>
      </c>
    </row>
    <row r="358" spans="1:23" x14ac:dyDescent="0.35">
      <c r="A358" t="s">
        <v>575</v>
      </c>
      <c r="B358" t="s">
        <v>62</v>
      </c>
      <c r="C358">
        <v>52</v>
      </c>
      <c r="D358" t="s">
        <v>11</v>
      </c>
      <c r="E358" t="s">
        <v>26</v>
      </c>
      <c r="F358" t="s">
        <v>63</v>
      </c>
      <c r="G358" t="s">
        <v>21</v>
      </c>
      <c r="H358" t="s">
        <v>22</v>
      </c>
      <c r="I358" t="s">
        <v>23</v>
      </c>
      <c r="J358" t="s">
        <v>97</v>
      </c>
      <c r="K358" t="s">
        <v>98</v>
      </c>
      <c r="L358" s="5">
        <v>45857</v>
      </c>
      <c r="M358" s="7">
        <v>0.96875</v>
      </c>
      <c r="N358" s="7">
        <v>0.12152777777777778</v>
      </c>
      <c r="O358" t="s">
        <v>124</v>
      </c>
      <c r="P358" t="s">
        <v>100</v>
      </c>
      <c r="Q358">
        <v>1200</v>
      </c>
      <c r="R358">
        <v>28</v>
      </c>
      <c r="S358" t="s">
        <v>94</v>
      </c>
      <c r="T358">
        <v>0</v>
      </c>
      <c r="U358" t="s">
        <v>107</v>
      </c>
      <c r="V358" t="s">
        <v>125</v>
      </c>
      <c r="W358">
        <v>14000</v>
      </c>
    </row>
    <row r="359" spans="1:23" x14ac:dyDescent="0.35">
      <c r="A359" t="s">
        <v>576</v>
      </c>
      <c r="B359" t="s">
        <v>65</v>
      </c>
      <c r="C359">
        <v>24</v>
      </c>
      <c r="D359" t="s">
        <v>18</v>
      </c>
      <c r="E359" t="s">
        <v>12</v>
      </c>
      <c r="F359" s="3" t="s">
        <v>66</v>
      </c>
      <c r="G359" t="s">
        <v>13</v>
      </c>
      <c r="H359" t="s">
        <v>39</v>
      </c>
      <c r="I359" t="s">
        <v>15</v>
      </c>
      <c r="J359" t="s">
        <v>113</v>
      </c>
      <c r="K359" t="s">
        <v>91</v>
      </c>
      <c r="L359" s="5">
        <v>45857</v>
      </c>
      <c r="M359" s="7">
        <v>0.25694444444444442</v>
      </c>
      <c r="N359" s="7">
        <v>0.3611111111111111</v>
      </c>
      <c r="O359" t="s">
        <v>126</v>
      </c>
      <c r="P359" t="s">
        <v>93</v>
      </c>
      <c r="Q359">
        <v>160</v>
      </c>
      <c r="R359">
        <v>10.4</v>
      </c>
      <c r="S359" t="s">
        <v>111</v>
      </c>
      <c r="T359">
        <v>0</v>
      </c>
      <c r="U359" t="s">
        <v>102</v>
      </c>
      <c r="V359" t="s">
        <v>112</v>
      </c>
      <c r="W359">
        <v>900</v>
      </c>
    </row>
    <row r="360" spans="1:23" x14ac:dyDescent="0.35">
      <c r="A360" t="s">
        <v>577</v>
      </c>
      <c r="B360" t="s">
        <v>68</v>
      </c>
      <c r="C360">
        <v>40</v>
      </c>
      <c r="D360" t="s">
        <v>11</v>
      </c>
      <c r="E360" t="s">
        <v>37</v>
      </c>
      <c r="F360" t="s">
        <v>69</v>
      </c>
      <c r="G360" t="s">
        <v>21</v>
      </c>
      <c r="H360" t="s">
        <v>33</v>
      </c>
      <c r="I360" t="s">
        <v>34</v>
      </c>
      <c r="J360" t="s">
        <v>108</v>
      </c>
      <c r="K360" t="s">
        <v>109</v>
      </c>
      <c r="L360" s="5">
        <v>45858</v>
      </c>
      <c r="M360" s="7">
        <v>0.84722222222222221</v>
      </c>
      <c r="N360" s="7">
        <v>9.0277777777777776E-2</v>
      </c>
      <c r="O360" t="s">
        <v>127</v>
      </c>
      <c r="P360" t="s">
        <v>100</v>
      </c>
      <c r="Q360">
        <v>1340</v>
      </c>
      <c r="R360">
        <v>22.6</v>
      </c>
      <c r="S360" t="s">
        <v>94</v>
      </c>
      <c r="T360">
        <v>0</v>
      </c>
      <c r="U360" t="s">
        <v>95</v>
      </c>
      <c r="V360" t="s">
        <v>103</v>
      </c>
      <c r="W360">
        <v>8700</v>
      </c>
    </row>
    <row r="361" spans="1:23" x14ac:dyDescent="0.35">
      <c r="A361" t="s">
        <v>578</v>
      </c>
      <c r="B361" t="s">
        <v>71</v>
      </c>
      <c r="C361">
        <v>33</v>
      </c>
      <c r="D361" t="s">
        <v>18</v>
      </c>
      <c r="E361" t="s">
        <v>43</v>
      </c>
      <c r="F361" t="s">
        <v>72</v>
      </c>
      <c r="G361" t="s">
        <v>21</v>
      </c>
      <c r="H361" t="s">
        <v>15</v>
      </c>
      <c r="I361" t="s">
        <v>40</v>
      </c>
      <c r="J361" t="s">
        <v>91</v>
      </c>
      <c r="K361" t="s">
        <v>114</v>
      </c>
      <c r="L361" s="5">
        <v>45858</v>
      </c>
      <c r="M361" s="7">
        <v>0.11805555555555555</v>
      </c>
      <c r="N361" s="7">
        <v>0.64583333333333337</v>
      </c>
      <c r="O361" t="s">
        <v>128</v>
      </c>
      <c r="P361" t="s">
        <v>106</v>
      </c>
      <c r="Q361">
        <v>2600</v>
      </c>
      <c r="R361">
        <v>31.4</v>
      </c>
      <c r="S361" t="s">
        <v>101</v>
      </c>
      <c r="T361">
        <v>90</v>
      </c>
      <c r="U361" t="s">
        <v>107</v>
      </c>
      <c r="V361" t="s">
        <v>96</v>
      </c>
      <c r="W361">
        <v>15000</v>
      </c>
    </row>
    <row r="362" spans="1:23" x14ac:dyDescent="0.35">
      <c r="A362" t="s">
        <v>579</v>
      </c>
      <c r="B362" t="s">
        <v>74</v>
      </c>
      <c r="C362">
        <v>47</v>
      </c>
      <c r="D362" t="s">
        <v>11</v>
      </c>
      <c r="E362" t="s">
        <v>19</v>
      </c>
      <c r="F362" t="s">
        <v>75</v>
      </c>
      <c r="G362" t="s">
        <v>21</v>
      </c>
      <c r="H362" t="s">
        <v>14</v>
      </c>
      <c r="I362" t="s">
        <v>23</v>
      </c>
      <c r="J362" t="s">
        <v>90</v>
      </c>
      <c r="K362" t="s">
        <v>98</v>
      </c>
      <c r="L362" s="5">
        <v>45859</v>
      </c>
      <c r="M362" s="7">
        <v>0.54513888888888884</v>
      </c>
      <c r="N362" s="7">
        <v>0.71875</v>
      </c>
      <c r="O362" t="s">
        <v>129</v>
      </c>
      <c r="P362" t="s">
        <v>93</v>
      </c>
      <c r="Q362">
        <v>390</v>
      </c>
      <c r="R362">
        <v>16.100000000000001</v>
      </c>
      <c r="S362" t="s">
        <v>94</v>
      </c>
      <c r="T362">
        <v>0</v>
      </c>
      <c r="U362" t="s">
        <v>95</v>
      </c>
      <c r="V362" t="s">
        <v>103</v>
      </c>
      <c r="W362">
        <v>3000</v>
      </c>
    </row>
    <row r="363" spans="1:23" x14ac:dyDescent="0.35">
      <c r="A363" t="s">
        <v>580</v>
      </c>
      <c r="B363" t="s">
        <v>131</v>
      </c>
      <c r="C363">
        <v>28</v>
      </c>
      <c r="D363" t="s">
        <v>18</v>
      </c>
      <c r="E363" t="s">
        <v>52</v>
      </c>
      <c r="F363" t="s">
        <v>132</v>
      </c>
      <c r="G363" t="s">
        <v>21</v>
      </c>
      <c r="H363" t="s">
        <v>33</v>
      </c>
      <c r="I363" t="s">
        <v>28</v>
      </c>
      <c r="J363" t="s">
        <v>108</v>
      </c>
      <c r="K363" t="s">
        <v>104</v>
      </c>
      <c r="L363" s="5">
        <v>45859</v>
      </c>
      <c r="M363" s="7">
        <v>0.32291666666666669</v>
      </c>
      <c r="N363" s="7">
        <v>0.75694444444444442</v>
      </c>
      <c r="O363" t="s">
        <v>133</v>
      </c>
      <c r="P363" t="s">
        <v>118</v>
      </c>
      <c r="Q363">
        <v>980</v>
      </c>
      <c r="R363">
        <v>21</v>
      </c>
      <c r="S363" t="s">
        <v>111</v>
      </c>
      <c r="T363">
        <v>0</v>
      </c>
      <c r="U363" t="s">
        <v>102</v>
      </c>
      <c r="V363" t="s">
        <v>96</v>
      </c>
      <c r="W363">
        <v>7200</v>
      </c>
    </row>
    <row r="364" spans="1:23" x14ac:dyDescent="0.35">
      <c r="A364" t="s">
        <v>581</v>
      </c>
      <c r="B364" t="s">
        <v>135</v>
      </c>
      <c r="C364">
        <v>39</v>
      </c>
      <c r="D364" t="s">
        <v>11</v>
      </c>
      <c r="E364" t="s">
        <v>12</v>
      </c>
      <c r="F364" s="3" t="s">
        <v>136</v>
      </c>
      <c r="G364" t="s">
        <v>13</v>
      </c>
      <c r="H364" t="s">
        <v>15</v>
      </c>
      <c r="I364" t="s">
        <v>22</v>
      </c>
      <c r="J364" t="s">
        <v>91</v>
      </c>
      <c r="K364" t="s">
        <v>97</v>
      </c>
      <c r="L364" s="5">
        <v>45860</v>
      </c>
      <c r="M364" s="7">
        <v>0.47916666666666669</v>
      </c>
      <c r="N364" s="7">
        <v>0.56944444444444442</v>
      </c>
      <c r="O364" t="s">
        <v>137</v>
      </c>
      <c r="P364" t="s">
        <v>93</v>
      </c>
      <c r="Q364">
        <v>110</v>
      </c>
      <c r="R364">
        <v>8.6</v>
      </c>
      <c r="S364" t="s">
        <v>94</v>
      </c>
      <c r="T364">
        <v>0</v>
      </c>
      <c r="U364" t="s">
        <v>95</v>
      </c>
      <c r="V364" t="s">
        <v>103</v>
      </c>
      <c r="W364">
        <v>1500</v>
      </c>
    </row>
    <row r="365" spans="1:23" x14ac:dyDescent="0.35">
      <c r="A365" t="s">
        <v>582</v>
      </c>
      <c r="B365" t="s">
        <v>139</v>
      </c>
      <c r="C365">
        <v>26</v>
      </c>
      <c r="D365" t="s">
        <v>18</v>
      </c>
      <c r="E365" t="s">
        <v>19</v>
      </c>
      <c r="F365" t="s">
        <v>140</v>
      </c>
      <c r="G365" t="s">
        <v>13</v>
      </c>
      <c r="H365" t="s">
        <v>57</v>
      </c>
      <c r="I365" t="s">
        <v>39</v>
      </c>
      <c r="J365" t="s">
        <v>121</v>
      </c>
      <c r="K365" t="s">
        <v>113</v>
      </c>
      <c r="L365" s="5">
        <v>45860</v>
      </c>
      <c r="M365" s="7">
        <v>0.66666666666666663</v>
      </c>
      <c r="N365" s="7">
        <v>0.76736111111111116</v>
      </c>
      <c r="O365" t="s">
        <v>141</v>
      </c>
      <c r="P365" t="s">
        <v>93</v>
      </c>
      <c r="Q365">
        <v>140</v>
      </c>
      <c r="R365">
        <v>11.2</v>
      </c>
      <c r="S365" t="s">
        <v>101</v>
      </c>
      <c r="T365">
        <v>20</v>
      </c>
      <c r="U365" t="s">
        <v>95</v>
      </c>
      <c r="V365" t="s">
        <v>96</v>
      </c>
      <c r="W365">
        <v>2700</v>
      </c>
    </row>
    <row r="366" spans="1:23" x14ac:dyDescent="0.35">
      <c r="A366" t="s">
        <v>583</v>
      </c>
      <c r="B366" t="s">
        <v>143</v>
      </c>
      <c r="C366">
        <v>50</v>
      </c>
      <c r="D366" t="s">
        <v>11</v>
      </c>
      <c r="E366" t="s">
        <v>26</v>
      </c>
      <c r="F366" t="s">
        <v>144</v>
      </c>
      <c r="G366" t="s">
        <v>21</v>
      </c>
      <c r="H366" t="s">
        <v>14</v>
      </c>
      <c r="I366" t="s">
        <v>34</v>
      </c>
      <c r="J366" t="s">
        <v>90</v>
      </c>
      <c r="K366" t="s">
        <v>109</v>
      </c>
      <c r="L366" s="5">
        <v>45861</v>
      </c>
      <c r="M366" s="7">
        <v>0.88194444444444442</v>
      </c>
      <c r="N366" s="7">
        <v>0.2013888888888889</v>
      </c>
      <c r="O366" t="s">
        <v>145</v>
      </c>
      <c r="P366" t="s">
        <v>100</v>
      </c>
      <c r="Q366">
        <v>1450</v>
      </c>
      <c r="R366">
        <v>25.9</v>
      </c>
      <c r="S366" t="s">
        <v>94</v>
      </c>
      <c r="T366">
        <v>0</v>
      </c>
      <c r="U366" t="s">
        <v>107</v>
      </c>
      <c r="V366" t="s">
        <v>125</v>
      </c>
      <c r="W366">
        <v>11800</v>
      </c>
    </row>
    <row r="367" spans="1:23" x14ac:dyDescent="0.35">
      <c r="A367" t="s">
        <v>584</v>
      </c>
      <c r="B367" t="s">
        <v>222</v>
      </c>
      <c r="C367">
        <v>31</v>
      </c>
      <c r="D367" t="s">
        <v>18</v>
      </c>
      <c r="E367" t="s">
        <v>31</v>
      </c>
      <c r="F367" t="s">
        <v>148</v>
      </c>
      <c r="G367" t="s">
        <v>21</v>
      </c>
      <c r="H367" t="s">
        <v>15</v>
      </c>
      <c r="I367" t="s">
        <v>23</v>
      </c>
      <c r="J367" t="s">
        <v>91</v>
      </c>
      <c r="K367" t="s">
        <v>98</v>
      </c>
      <c r="L367" s="5">
        <v>45861</v>
      </c>
      <c r="M367" s="7">
        <v>0.18402777777777779</v>
      </c>
      <c r="N367" s="7">
        <v>0.33333333333333331</v>
      </c>
      <c r="O367" t="s">
        <v>149</v>
      </c>
      <c r="P367" t="s">
        <v>93</v>
      </c>
      <c r="Q367">
        <v>330</v>
      </c>
      <c r="R367">
        <v>13.5</v>
      </c>
      <c r="S367" t="s">
        <v>111</v>
      </c>
      <c r="T367">
        <v>0</v>
      </c>
      <c r="U367" t="s">
        <v>102</v>
      </c>
      <c r="V367" t="s">
        <v>112</v>
      </c>
      <c r="W367">
        <v>2100</v>
      </c>
    </row>
    <row r="368" spans="1:23" x14ac:dyDescent="0.35">
      <c r="A368" t="s">
        <v>585</v>
      </c>
      <c r="B368" t="s">
        <v>224</v>
      </c>
      <c r="C368">
        <v>44</v>
      </c>
      <c r="D368" t="s">
        <v>11</v>
      </c>
      <c r="E368" t="s">
        <v>12</v>
      </c>
      <c r="F368" s="11" t="s">
        <v>225</v>
      </c>
      <c r="G368" t="s">
        <v>13</v>
      </c>
      <c r="H368" t="s">
        <v>22</v>
      </c>
      <c r="I368" t="s">
        <v>57</v>
      </c>
      <c r="J368" t="s">
        <v>97</v>
      </c>
      <c r="K368" t="s">
        <v>121</v>
      </c>
      <c r="L368" s="5">
        <v>45862</v>
      </c>
      <c r="M368" s="7">
        <v>0.38194444444444442</v>
      </c>
      <c r="N368" s="7">
        <v>0.4861111111111111</v>
      </c>
      <c r="O368" t="s">
        <v>226</v>
      </c>
      <c r="P368" t="s">
        <v>93</v>
      </c>
      <c r="Q368">
        <v>125</v>
      </c>
      <c r="R368">
        <v>12</v>
      </c>
      <c r="S368" t="s">
        <v>94</v>
      </c>
      <c r="T368">
        <v>0</v>
      </c>
      <c r="U368" t="s">
        <v>95</v>
      </c>
      <c r="V368" t="s">
        <v>103</v>
      </c>
      <c r="W368">
        <v>2100</v>
      </c>
    </row>
    <row r="369" spans="1:23" x14ac:dyDescent="0.35">
      <c r="A369" t="s">
        <v>586</v>
      </c>
      <c r="B369" t="s">
        <v>30</v>
      </c>
      <c r="C369">
        <v>25</v>
      </c>
      <c r="D369" t="s">
        <v>18</v>
      </c>
      <c r="E369" t="s">
        <v>19</v>
      </c>
      <c r="F369" t="s">
        <v>20</v>
      </c>
      <c r="G369" t="s">
        <v>21</v>
      </c>
      <c r="H369" t="s">
        <v>15</v>
      </c>
      <c r="I369" t="s">
        <v>28</v>
      </c>
      <c r="J369" t="s">
        <v>91</v>
      </c>
      <c r="K369" t="s">
        <v>104</v>
      </c>
      <c r="L369" s="5">
        <v>45862</v>
      </c>
      <c r="M369" s="7">
        <v>5.2083333333333336E-2</v>
      </c>
      <c r="N369" s="7">
        <v>0.40972222222222221</v>
      </c>
      <c r="O369" t="s">
        <v>99</v>
      </c>
      <c r="P369" t="s">
        <v>100</v>
      </c>
      <c r="Q369">
        <v>860</v>
      </c>
      <c r="R369">
        <v>24</v>
      </c>
      <c r="S369" t="s">
        <v>101</v>
      </c>
      <c r="T369">
        <v>50</v>
      </c>
      <c r="U369" t="s">
        <v>102</v>
      </c>
      <c r="V369" t="s">
        <v>96</v>
      </c>
      <c r="W369">
        <v>8400</v>
      </c>
    </row>
    <row r="370" spans="1:23" x14ac:dyDescent="0.35">
      <c r="A370" t="s">
        <v>587</v>
      </c>
      <c r="B370" t="s">
        <v>197</v>
      </c>
      <c r="C370">
        <v>38</v>
      </c>
      <c r="D370" t="s">
        <v>11</v>
      </c>
      <c r="E370" t="s">
        <v>37</v>
      </c>
      <c r="F370" t="s">
        <v>38</v>
      </c>
      <c r="G370" t="s">
        <v>21</v>
      </c>
      <c r="H370" t="s">
        <v>39</v>
      </c>
      <c r="I370" t="s">
        <v>40</v>
      </c>
      <c r="J370" t="s">
        <v>113</v>
      </c>
      <c r="K370" t="s">
        <v>114</v>
      </c>
      <c r="L370" s="5">
        <v>45863</v>
      </c>
      <c r="M370" s="7">
        <v>0.91666666666666663</v>
      </c>
      <c r="N370" s="7">
        <v>0.57291666666666663</v>
      </c>
      <c r="O370" t="s">
        <v>115</v>
      </c>
      <c r="P370" t="s">
        <v>100</v>
      </c>
      <c r="Q370">
        <v>1980</v>
      </c>
      <c r="R370">
        <v>27.5</v>
      </c>
      <c r="S370" t="s">
        <v>94</v>
      </c>
      <c r="T370">
        <v>0</v>
      </c>
      <c r="U370" t="s">
        <v>102</v>
      </c>
      <c r="V370" t="s">
        <v>103</v>
      </c>
      <c r="W370">
        <v>9700</v>
      </c>
    </row>
    <row r="371" spans="1:23" x14ac:dyDescent="0.35">
      <c r="A371" t="s">
        <v>588</v>
      </c>
      <c r="B371" t="s">
        <v>42</v>
      </c>
      <c r="C371">
        <v>31</v>
      </c>
      <c r="D371" t="s">
        <v>18</v>
      </c>
      <c r="E371" t="s">
        <v>43</v>
      </c>
      <c r="F371" t="s">
        <v>44</v>
      </c>
      <c r="G371" t="s">
        <v>21</v>
      </c>
      <c r="H371" t="s">
        <v>15</v>
      </c>
      <c r="I371" t="s">
        <v>45</v>
      </c>
      <c r="J371" t="s">
        <v>91</v>
      </c>
      <c r="K371" t="s">
        <v>116</v>
      </c>
      <c r="L371" s="5">
        <v>45863</v>
      </c>
      <c r="M371" s="7">
        <v>0.15625</v>
      </c>
      <c r="N371" s="7">
        <v>0.47222222222222221</v>
      </c>
      <c r="O371" t="s">
        <v>117</v>
      </c>
      <c r="P371" t="s">
        <v>118</v>
      </c>
      <c r="Q371">
        <v>980</v>
      </c>
      <c r="R371">
        <v>19.3</v>
      </c>
      <c r="S371" t="s">
        <v>94</v>
      </c>
      <c r="T371">
        <v>0</v>
      </c>
      <c r="U371" t="s">
        <v>95</v>
      </c>
      <c r="V371" t="s">
        <v>96</v>
      </c>
      <c r="W371">
        <v>5400</v>
      </c>
    </row>
    <row r="372" spans="1:23" x14ac:dyDescent="0.35">
      <c r="A372" t="s">
        <v>589</v>
      </c>
      <c r="B372" t="s">
        <v>231</v>
      </c>
      <c r="C372">
        <v>35</v>
      </c>
      <c r="D372" t="s">
        <v>11</v>
      </c>
      <c r="E372" t="s">
        <v>26</v>
      </c>
      <c r="F372" t="s">
        <v>232</v>
      </c>
      <c r="G372" t="s">
        <v>21</v>
      </c>
      <c r="H372" t="s">
        <v>22</v>
      </c>
      <c r="I372" t="s">
        <v>28</v>
      </c>
      <c r="J372" t="s">
        <v>97</v>
      </c>
      <c r="K372" t="s">
        <v>104</v>
      </c>
      <c r="L372" s="5">
        <v>45864</v>
      </c>
      <c r="M372" s="7">
        <v>9.0277777777777776E-2</v>
      </c>
      <c r="N372" s="7">
        <v>0.36805555555555558</v>
      </c>
      <c r="O372" t="s">
        <v>119</v>
      </c>
      <c r="P372" t="s">
        <v>100</v>
      </c>
      <c r="Q372">
        <v>1800</v>
      </c>
      <c r="R372">
        <v>26.5</v>
      </c>
      <c r="S372" t="s">
        <v>94</v>
      </c>
      <c r="T372">
        <v>0</v>
      </c>
      <c r="U372" t="s">
        <v>107</v>
      </c>
      <c r="V372" t="s">
        <v>103</v>
      </c>
      <c r="W372">
        <v>12000</v>
      </c>
    </row>
    <row r="373" spans="1:23" x14ac:dyDescent="0.35">
      <c r="A373" t="s">
        <v>590</v>
      </c>
      <c r="B373" t="s">
        <v>234</v>
      </c>
      <c r="C373">
        <v>28</v>
      </c>
      <c r="D373" t="s">
        <v>18</v>
      </c>
      <c r="E373" t="s">
        <v>12</v>
      </c>
      <c r="F373" s="3" t="s">
        <v>235</v>
      </c>
      <c r="G373" t="s">
        <v>13</v>
      </c>
      <c r="H373" t="s">
        <v>14</v>
      </c>
      <c r="I373" t="s">
        <v>15</v>
      </c>
      <c r="J373" t="s">
        <v>90</v>
      </c>
      <c r="K373" t="s">
        <v>91</v>
      </c>
      <c r="L373" s="5">
        <v>45864</v>
      </c>
      <c r="M373" s="7">
        <v>0.28125</v>
      </c>
      <c r="N373" s="7">
        <v>0.3888888888888889</v>
      </c>
      <c r="O373" t="s">
        <v>236</v>
      </c>
      <c r="P373" t="s">
        <v>93</v>
      </c>
      <c r="Q373">
        <v>150</v>
      </c>
      <c r="R373">
        <v>11.2</v>
      </c>
      <c r="S373" t="s">
        <v>101</v>
      </c>
      <c r="T373">
        <v>30</v>
      </c>
      <c r="U373" t="s">
        <v>102</v>
      </c>
      <c r="V373" t="s">
        <v>96</v>
      </c>
      <c r="W373">
        <v>3200</v>
      </c>
    </row>
    <row r="374" spans="1:23" x14ac:dyDescent="0.35">
      <c r="A374" t="s">
        <v>591</v>
      </c>
      <c r="B374" t="s">
        <v>25</v>
      </c>
      <c r="C374">
        <v>41</v>
      </c>
      <c r="D374" t="s">
        <v>11</v>
      </c>
      <c r="E374" t="s">
        <v>26</v>
      </c>
      <c r="F374" t="s">
        <v>27</v>
      </c>
      <c r="G374" t="s">
        <v>21</v>
      </c>
      <c r="H374" t="s">
        <v>15</v>
      </c>
      <c r="I374" t="s">
        <v>28</v>
      </c>
      <c r="J374" t="s">
        <v>91</v>
      </c>
      <c r="K374" t="s">
        <v>104</v>
      </c>
      <c r="L374" s="5">
        <v>45865</v>
      </c>
      <c r="M374" s="7">
        <v>5.5555555555555552E-2</v>
      </c>
      <c r="N374" s="7">
        <v>0.41319444444444442</v>
      </c>
      <c r="O374" t="s">
        <v>105</v>
      </c>
      <c r="P374" t="s">
        <v>106</v>
      </c>
      <c r="Q374">
        <v>2450</v>
      </c>
      <c r="R374">
        <v>30.2</v>
      </c>
      <c r="S374" t="s">
        <v>94</v>
      </c>
      <c r="T374">
        <v>0</v>
      </c>
      <c r="U374" t="s">
        <v>107</v>
      </c>
      <c r="V374" t="s">
        <v>103</v>
      </c>
      <c r="W374">
        <v>13200</v>
      </c>
    </row>
    <row r="375" spans="1:23" x14ac:dyDescent="0.35">
      <c r="A375" t="s">
        <v>592</v>
      </c>
      <c r="B375" t="s">
        <v>30</v>
      </c>
      <c r="C375">
        <v>25</v>
      </c>
      <c r="D375" t="s">
        <v>18</v>
      </c>
      <c r="E375" t="s">
        <v>31</v>
      </c>
      <c r="F375" t="s">
        <v>32</v>
      </c>
      <c r="G375" t="s">
        <v>21</v>
      </c>
      <c r="H375" t="s">
        <v>33</v>
      </c>
      <c r="I375" t="s">
        <v>34</v>
      </c>
      <c r="J375" t="s">
        <v>108</v>
      </c>
      <c r="K375" t="s">
        <v>109</v>
      </c>
      <c r="L375" s="5">
        <v>45865</v>
      </c>
      <c r="M375" s="7">
        <v>0.34027777777777779</v>
      </c>
      <c r="N375" s="7">
        <v>0.58333333333333337</v>
      </c>
      <c r="O375" t="s">
        <v>110</v>
      </c>
      <c r="P375" t="s">
        <v>93</v>
      </c>
      <c r="Q375">
        <v>420</v>
      </c>
      <c r="R375">
        <v>15.6</v>
      </c>
      <c r="S375" t="s">
        <v>111</v>
      </c>
      <c r="T375">
        <v>0</v>
      </c>
      <c r="U375" t="s">
        <v>95</v>
      </c>
      <c r="V375" t="s">
        <v>112</v>
      </c>
      <c r="W375">
        <v>3500</v>
      </c>
    </row>
    <row r="376" spans="1:23" x14ac:dyDescent="0.35">
      <c r="A376" t="s">
        <v>593</v>
      </c>
      <c r="B376" t="s">
        <v>36</v>
      </c>
      <c r="C376">
        <v>38</v>
      </c>
      <c r="D376" t="s">
        <v>11</v>
      </c>
      <c r="E376" t="s">
        <v>37</v>
      </c>
      <c r="F376" t="s">
        <v>38</v>
      </c>
      <c r="G376" t="s">
        <v>21</v>
      </c>
      <c r="H376" t="s">
        <v>39</v>
      </c>
      <c r="I376" t="s">
        <v>40</v>
      </c>
      <c r="J376" t="s">
        <v>113</v>
      </c>
      <c r="K376" t="s">
        <v>114</v>
      </c>
      <c r="L376" s="5">
        <v>45866</v>
      </c>
      <c r="M376" s="7">
        <v>0.91666666666666663</v>
      </c>
      <c r="N376" s="7">
        <v>0.57291666666666663</v>
      </c>
      <c r="O376" t="s">
        <v>115</v>
      </c>
      <c r="P376" t="s">
        <v>100</v>
      </c>
      <c r="Q376">
        <v>1980</v>
      </c>
      <c r="R376">
        <v>27.5</v>
      </c>
      <c r="S376" t="s">
        <v>94</v>
      </c>
      <c r="T376">
        <v>0</v>
      </c>
      <c r="U376" t="s">
        <v>102</v>
      </c>
      <c r="V376" t="s">
        <v>103</v>
      </c>
      <c r="W376">
        <v>9700</v>
      </c>
    </row>
    <row r="377" spans="1:23" x14ac:dyDescent="0.35">
      <c r="A377" t="s">
        <v>594</v>
      </c>
      <c r="B377" t="s">
        <v>42</v>
      </c>
      <c r="C377">
        <v>31</v>
      </c>
      <c r="D377" t="s">
        <v>18</v>
      </c>
      <c r="E377" t="s">
        <v>43</v>
      </c>
      <c r="F377" t="s">
        <v>44</v>
      </c>
      <c r="G377" t="s">
        <v>21</v>
      </c>
      <c r="H377" t="s">
        <v>15</v>
      </c>
      <c r="I377" t="s">
        <v>45</v>
      </c>
      <c r="J377" t="s">
        <v>91</v>
      </c>
      <c r="K377" t="s">
        <v>116</v>
      </c>
      <c r="L377" s="5">
        <v>45866</v>
      </c>
      <c r="M377" s="7">
        <v>0.15625</v>
      </c>
      <c r="N377" s="7">
        <v>0.47222222222222221</v>
      </c>
      <c r="O377" t="s">
        <v>117</v>
      </c>
      <c r="P377" t="s">
        <v>118</v>
      </c>
      <c r="Q377">
        <v>980</v>
      </c>
      <c r="R377">
        <v>19.3</v>
      </c>
      <c r="S377" t="s">
        <v>101</v>
      </c>
      <c r="T377">
        <v>35</v>
      </c>
      <c r="U377" t="s">
        <v>95</v>
      </c>
      <c r="V377" t="s">
        <v>96</v>
      </c>
      <c r="W377">
        <v>5400</v>
      </c>
    </row>
    <row r="378" spans="1:23" x14ac:dyDescent="0.35">
      <c r="A378" t="s">
        <v>595</v>
      </c>
      <c r="B378" t="s">
        <v>47</v>
      </c>
      <c r="C378">
        <v>45</v>
      </c>
      <c r="D378" t="s">
        <v>11</v>
      </c>
      <c r="E378" t="s">
        <v>48</v>
      </c>
      <c r="F378" t="s">
        <v>49</v>
      </c>
      <c r="G378" t="s">
        <v>21</v>
      </c>
      <c r="H378" t="s">
        <v>14</v>
      </c>
      <c r="I378" t="s">
        <v>28</v>
      </c>
      <c r="J378" t="s">
        <v>90</v>
      </c>
      <c r="K378" t="s">
        <v>104</v>
      </c>
      <c r="L378" s="5">
        <v>45867</v>
      </c>
      <c r="M378" s="7">
        <v>0.42708333333333331</v>
      </c>
      <c r="N378" s="7">
        <v>0.77083333333333337</v>
      </c>
      <c r="O378" t="s">
        <v>119</v>
      </c>
      <c r="P378" t="s">
        <v>100</v>
      </c>
      <c r="Q378">
        <v>1650</v>
      </c>
      <c r="R378">
        <v>26.8</v>
      </c>
      <c r="S378" t="s">
        <v>94</v>
      </c>
      <c r="T378">
        <v>0</v>
      </c>
      <c r="U378" t="s">
        <v>107</v>
      </c>
      <c r="V378" t="s">
        <v>103</v>
      </c>
      <c r="W378">
        <v>11000</v>
      </c>
    </row>
    <row r="379" spans="1:23" x14ac:dyDescent="0.35">
      <c r="A379" t="s">
        <v>596</v>
      </c>
      <c r="B379" t="s">
        <v>51</v>
      </c>
      <c r="C379">
        <v>27</v>
      </c>
      <c r="D379" t="s">
        <v>18</v>
      </c>
      <c r="E379" t="s">
        <v>52</v>
      </c>
      <c r="F379" t="s">
        <v>53</v>
      </c>
      <c r="G379" t="s">
        <v>21</v>
      </c>
      <c r="H379" t="s">
        <v>22</v>
      </c>
      <c r="I379" t="s">
        <v>40</v>
      </c>
      <c r="J379" t="s">
        <v>97</v>
      </c>
      <c r="K379" t="s">
        <v>114</v>
      </c>
      <c r="L379" s="5">
        <v>45867</v>
      </c>
      <c r="M379" s="7">
        <v>0.24305555555555555</v>
      </c>
      <c r="N379" s="7">
        <v>0.72222222222222221</v>
      </c>
      <c r="O379" t="s">
        <v>120</v>
      </c>
      <c r="P379" t="s">
        <v>93</v>
      </c>
      <c r="Q379">
        <v>740</v>
      </c>
      <c r="R379">
        <v>17.2</v>
      </c>
      <c r="S379" t="s">
        <v>111</v>
      </c>
      <c r="T379">
        <v>0</v>
      </c>
      <c r="U379" t="s">
        <v>95</v>
      </c>
      <c r="V379" t="s">
        <v>96</v>
      </c>
      <c r="W379">
        <v>4100</v>
      </c>
    </row>
    <row r="380" spans="1:23" x14ac:dyDescent="0.35">
      <c r="A380" t="s">
        <v>597</v>
      </c>
      <c r="B380" t="s">
        <v>55</v>
      </c>
      <c r="C380">
        <v>36</v>
      </c>
      <c r="D380" t="s">
        <v>11</v>
      </c>
      <c r="E380" t="s">
        <v>12</v>
      </c>
      <c r="F380" s="3" t="s">
        <v>56</v>
      </c>
      <c r="G380" t="s">
        <v>13</v>
      </c>
      <c r="H380" t="s">
        <v>57</v>
      </c>
      <c r="I380" t="s">
        <v>33</v>
      </c>
      <c r="J380" t="s">
        <v>121</v>
      </c>
      <c r="K380" t="s">
        <v>108</v>
      </c>
      <c r="L380" s="5">
        <v>45868</v>
      </c>
      <c r="M380" s="7">
        <v>0.60069444444444442</v>
      </c>
      <c r="N380" s="7">
        <v>0.71527777777777779</v>
      </c>
      <c r="O380" t="s">
        <v>122</v>
      </c>
      <c r="P380" t="s">
        <v>93</v>
      </c>
      <c r="Q380">
        <v>125</v>
      </c>
      <c r="R380">
        <v>12</v>
      </c>
      <c r="S380" t="s">
        <v>94</v>
      </c>
      <c r="T380">
        <v>0</v>
      </c>
      <c r="U380" t="s">
        <v>102</v>
      </c>
      <c r="V380" t="s">
        <v>103</v>
      </c>
      <c r="W380">
        <v>1800</v>
      </c>
    </row>
    <row r="381" spans="1:23" x14ac:dyDescent="0.35">
      <c r="A381" t="s">
        <v>598</v>
      </c>
      <c r="B381" t="s">
        <v>59</v>
      </c>
      <c r="C381">
        <v>30</v>
      </c>
      <c r="D381" t="s">
        <v>18</v>
      </c>
      <c r="E381" t="s">
        <v>19</v>
      </c>
      <c r="F381" t="s">
        <v>60</v>
      </c>
      <c r="G381" t="s">
        <v>13</v>
      </c>
      <c r="H381" t="s">
        <v>15</v>
      </c>
      <c r="I381" t="s">
        <v>14</v>
      </c>
      <c r="J381" t="s">
        <v>91</v>
      </c>
      <c r="K381" t="s">
        <v>90</v>
      </c>
      <c r="L381" s="5">
        <v>45868</v>
      </c>
      <c r="M381" s="7">
        <v>0.40277777777777779</v>
      </c>
      <c r="N381" s="7">
        <v>0.51736111111111116</v>
      </c>
      <c r="O381" t="s">
        <v>123</v>
      </c>
      <c r="P381" t="s">
        <v>118</v>
      </c>
      <c r="Q381">
        <v>310</v>
      </c>
      <c r="R381">
        <v>20.5</v>
      </c>
      <c r="S381" t="s">
        <v>101</v>
      </c>
      <c r="T381">
        <v>35</v>
      </c>
      <c r="U381" t="s">
        <v>95</v>
      </c>
      <c r="V381" t="s">
        <v>96</v>
      </c>
      <c r="W381">
        <v>6200</v>
      </c>
    </row>
    <row r="382" spans="1:23" x14ac:dyDescent="0.35">
      <c r="A382" t="s">
        <v>599</v>
      </c>
      <c r="B382" t="s">
        <v>62</v>
      </c>
      <c r="C382">
        <v>52</v>
      </c>
      <c r="D382" t="s">
        <v>11</v>
      </c>
      <c r="E382" t="s">
        <v>26</v>
      </c>
      <c r="F382" t="s">
        <v>63</v>
      </c>
      <c r="G382" t="s">
        <v>21</v>
      </c>
      <c r="H382" t="s">
        <v>22</v>
      </c>
      <c r="I382" t="s">
        <v>23</v>
      </c>
      <c r="J382" t="s">
        <v>97</v>
      </c>
      <c r="K382" t="s">
        <v>98</v>
      </c>
      <c r="L382" s="5">
        <v>45869</v>
      </c>
      <c r="M382" s="7">
        <v>0.96875</v>
      </c>
      <c r="N382" s="7">
        <v>0.12152777777777778</v>
      </c>
      <c r="O382" t="s">
        <v>124</v>
      </c>
      <c r="P382" t="s">
        <v>100</v>
      </c>
      <c r="Q382">
        <v>1200</v>
      </c>
      <c r="R382">
        <v>28</v>
      </c>
      <c r="S382" t="s">
        <v>94</v>
      </c>
      <c r="T382">
        <v>0</v>
      </c>
      <c r="U382" t="s">
        <v>107</v>
      </c>
      <c r="V382" t="s">
        <v>125</v>
      </c>
      <c r="W382">
        <v>14000</v>
      </c>
    </row>
    <row r="383" spans="1:23" x14ac:dyDescent="0.35">
      <c r="A383" t="s">
        <v>600</v>
      </c>
      <c r="B383" t="s">
        <v>65</v>
      </c>
      <c r="C383">
        <v>24</v>
      </c>
      <c r="D383" t="s">
        <v>18</v>
      </c>
      <c r="E383" t="s">
        <v>12</v>
      </c>
      <c r="F383" s="3" t="s">
        <v>66</v>
      </c>
      <c r="G383" t="s">
        <v>13</v>
      </c>
      <c r="H383" t="s">
        <v>39</v>
      </c>
      <c r="I383" t="s">
        <v>15</v>
      </c>
      <c r="J383" t="s">
        <v>113</v>
      </c>
      <c r="K383" t="s">
        <v>91</v>
      </c>
      <c r="L383" s="5">
        <v>45869</v>
      </c>
      <c r="M383" s="7">
        <v>0.25694444444444442</v>
      </c>
      <c r="N383" s="7">
        <v>0.3611111111111111</v>
      </c>
      <c r="O383" t="s">
        <v>126</v>
      </c>
      <c r="P383" t="s">
        <v>93</v>
      </c>
      <c r="Q383">
        <v>160</v>
      </c>
      <c r="R383">
        <v>10.4</v>
      </c>
      <c r="S383" t="s">
        <v>111</v>
      </c>
      <c r="T383">
        <v>0</v>
      </c>
      <c r="U383" t="s">
        <v>102</v>
      </c>
      <c r="V383" t="s">
        <v>112</v>
      </c>
      <c r="W383">
        <v>900</v>
      </c>
    </row>
    <row r="384" spans="1:23" x14ac:dyDescent="0.35">
      <c r="A384" t="s">
        <v>601</v>
      </c>
      <c r="B384" t="s">
        <v>68</v>
      </c>
      <c r="C384">
        <v>40</v>
      </c>
      <c r="D384" t="s">
        <v>11</v>
      </c>
      <c r="E384" t="s">
        <v>37</v>
      </c>
      <c r="F384" t="s">
        <v>69</v>
      </c>
      <c r="G384" t="s">
        <v>21</v>
      </c>
      <c r="H384" t="s">
        <v>33</v>
      </c>
      <c r="I384" t="s">
        <v>34</v>
      </c>
      <c r="J384" t="s">
        <v>108</v>
      </c>
      <c r="K384" t="s">
        <v>109</v>
      </c>
      <c r="L384" s="5">
        <v>45870</v>
      </c>
      <c r="M384" s="7">
        <v>0.84722222222222221</v>
      </c>
      <c r="N384" s="7">
        <v>9.0277777777777776E-2</v>
      </c>
      <c r="O384" t="s">
        <v>127</v>
      </c>
      <c r="P384" t="s">
        <v>100</v>
      </c>
      <c r="Q384">
        <v>1340</v>
      </c>
      <c r="R384">
        <v>22.6</v>
      </c>
      <c r="S384" t="s">
        <v>94</v>
      </c>
      <c r="T384">
        <v>0</v>
      </c>
      <c r="U384" t="s">
        <v>95</v>
      </c>
      <c r="V384" t="s">
        <v>103</v>
      </c>
      <c r="W384">
        <v>8700</v>
      </c>
    </row>
    <row r="385" spans="1:23" x14ac:dyDescent="0.35">
      <c r="A385" t="s">
        <v>602</v>
      </c>
      <c r="B385" t="s">
        <v>71</v>
      </c>
      <c r="C385">
        <v>33</v>
      </c>
      <c r="D385" t="s">
        <v>18</v>
      </c>
      <c r="E385" t="s">
        <v>43</v>
      </c>
      <c r="F385" t="s">
        <v>72</v>
      </c>
      <c r="G385" t="s">
        <v>21</v>
      </c>
      <c r="H385" t="s">
        <v>15</v>
      </c>
      <c r="I385" t="s">
        <v>40</v>
      </c>
      <c r="J385" t="s">
        <v>91</v>
      </c>
      <c r="K385" t="s">
        <v>114</v>
      </c>
      <c r="L385" s="5">
        <v>45870</v>
      </c>
      <c r="M385" s="7">
        <v>0.11805555555555555</v>
      </c>
      <c r="N385" s="7">
        <v>0.64583333333333337</v>
      </c>
      <c r="O385" t="s">
        <v>128</v>
      </c>
      <c r="P385" t="s">
        <v>106</v>
      </c>
      <c r="Q385">
        <v>2600</v>
      </c>
      <c r="R385">
        <v>31.4</v>
      </c>
      <c r="S385" t="s">
        <v>101</v>
      </c>
      <c r="T385">
        <v>90</v>
      </c>
      <c r="U385" t="s">
        <v>107</v>
      </c>
      <c r="V385" t="s">
        <v>96</v>
      </c>
      <c r="W385">
        <v>15000</v>
      </c>
    </row>
    <row r="386" spans="1:23" x14ac:dyDescent="0.35">
      <c r="A386" t="s">
        <v>603</v>
      </c>
      <c r="B386" t="s">
        <v>74</v>
      </c>
      <c r="C386">
        <v>47</v>
      </c>
      <c r="D386" t="s">
        <v>11</v>
      </c>
      <c r="E386" t="s">
        <v>19</v>
      </c>
      <c r="F386" t="s">
        <v>75</v>
      </c>
      <c r="G386" t="s">
        <v>21</v>
      </c>
      <c r="H386" t="s">
        <v>14</v>
      </c>
      <c r="I386" t="s">
        <v>23</v>
      </c>
      <c r="J386" t="s">
        <v>90</v>
      </c>
      <c r="K386" t="s">
        <v>98</v>
      </c>
      <c r="L386" s="5">
        <v>45871</v>
      </c>
      <c r="M386" s="7">
        <v>0.54513888888888884</v>
      </c>
      <c r="N386" s="7">
        <v>0.71875</v>
      </c>
      <c r="O386" t="s">
        <v>129</v>
      </c>
      <c r="P386" t="s">
        <v>93</v>
      </c>
      <c r="Q386">
        <v>390</v>
      </c>
      <c r="R386">
        <v>16.100000000000001</v>
      </c>
      <c r="S386" t="s">
        <v>94</v>
      </c>
      <c r="T386">
        <v>0</v>
      </c>
      <c r="U386" t="s">
        <v>95</v>
      </c>
      <c r="V386" t="s">
        <v>103</v>
      </c>
      <c r="W386">
        <v>3000</v>
      </c>
    </row>
    <row r="387" spans="1:23" x14ac:dyDescent="0.35">
      <c r="A387" t="s">
        <v>604</v>
      </c>
      <c r="B387" t="s">
        <v>131</v>
      </c>
      <c r="C387">
        <v>28</v>
      </c>
      <c r="D387" t="s">
        <v>18</v>
      </c>
      <c r="E387" t="s">
        <v>52</v>
      </c>
      <c r="F387" t="s">
        <v>132</v>
      </c>
      <c r="G387" t="s">
        <v>21</v>
      </c>
      <c r="H387" t="s">
        <v>33</v>
      </c>
      <c r="I387" t="s">
        <v>28</v>
      </c>
      <c r="J387" t="s">
        <v>108</v>
      </c>
      <c r="K387" t="s">
        <v>104</v>
      </c>
      <c r="L387" s="5">
        <v>45871</v>
      </c>
      <c r="M387" s="7">
        <v>0.32291666666666669</v>
      </c>
      <c r="N387" s="7">
        <v>0.75694444444444442</v>
      </c>
      <c r="O387" t="s">
        <v>133</v>
      </c>
      <c r="P387" t="s">
        <v>118</v>
      </c>
      <c r="Q387">
        <v>980</v>
      </c>
      <c r="R387">
        <v>21</v>
      </c>
      <c r="S387" t="s">
        <v>111</v>
      </c>
      <c r="T387">
        <v>0</v>
      </c>
      <c r="U387" t="s">
        <v>102</v>
      </c>
      <c r="V387" t="s">
        <v>96</v>
      </c>
      <c r="W387">
        <v>7200</v>
      </c>
    </row>
    <row r="388" spans="1:23" x14ac:dyDescent="0.35">
      <c r="A388" t="s">
        <v>605</v>
      </c>
      <c r="B388" t="s">
        <v>135</v>
      </c>
      <c r="C388">
        <v>39</v>
      </c>
      <c r="D388" t="s">
        <v>11</v>
      </c>
      <c r="E388" t="s">
        <v>12</v>
      </c>
      <c r="F388" s="3" t="s">
        <v>136</v>
      </c>
      <c r="G388" t="s">
        <v>13</v>
      </c>
      <c r="H388" t="s">
        <v>15</v>
      </c>
      <c r="I388" t="s">
        <v>22</v>
      </c>
      <c r="J388" t="s">
        <v>91</v>
      </c>
      <c r="K388" t="s">
        <v>97</v>
      </c>
      <c r="L388" s="5">
        <v>45872</v>
      </c>
      <c r="M388" s="7">
        <v>0.47916666666666669</v>
      </c>
      <c r="N388" s="7">
        <v>0.56944444444444442</v>
      </c>
      <c r="O388" t="s">
        <v>137</v>
      </c>
      <c r="P388" t="s">
        <v>93</v>
      </c>
      <c r="Q388">
        <v>110</v>
      </c>
      <c r="R388">
        <v>8.6</v>
      </c>
      <c r="S388" t="s">
        <v>94</v>
      </c>
      <c r="T388">
        <v>0</v>
      </c>
      <c r="U388" t="s">
        <v>95</v>
      </c>
      <c r="V388" t="s">
        <v>103</v>
      </c>
      <c r="W388">
        <v>1500</v>
      </c>
    </row>
    <row r="389" spans="1:23" x14ac:dyDescent="0.35">
      <c r="A389" t="s">
        <v>606</v>
      </c>
      <c r="B389" t="s">
        <v>139</v>
      </c>
      <c r="C389">
        <v>26</v>
      </c>
      <c r="D389" t="s">
        <v>18</v>
      </c>
      <c r="E389" t="s">
        <v>19</v>
      </c>
      <c r="F389" t="s">
        <v>140</v>
      </c>
      <c r="G389" t="s">
        <v>13</v>
      </c>
      <c r="H389" t="s">
        <v>57</v>
      </c>
      <c r="I389" t="s">
        <v>39</v>
      </c>
      <c r="J389" t="s">
        <v>121</v>
      </c>
      <c r="K389" t="s">
        <v>113</v>
      </c>
      <c r="L389" s="5">
        <v>45872</v>
      </c>
      <c r="M389" s="7">
        <v>0.66666666666666663</v>
      </c>
      <c r="N389" s="7">
        <v>0.76736111111111116</v>
      </c>
      <c r="O389" t="s">
        <v>141</v>
      </c>
      <c r="P389" t="s">
        <v>93</v>
      </c>
      <c r="Q389">
        <v>140</v>
      </c>
      <c r="R389">
        <v>11.2</v>
      </c>
      <c r="S389" t="s">
        <v>101</v>
      </c>
      <c r="T389">
        <v>20</v>
      </c>
      <c r="U389" t="s">
        <v>95</v>
      </c>
      <c r="V389" t="s">
        <v>96</v>
      </c>
      <c r="W389">
        <v>2700</v>
      </c>
    </row>
    <row r="390" spans="1:23" x14ac:dyDescent="0.35">
      <c r="A390" t="s">
        <v>607</v>
      </c>
      <c r="B390" t="s">
        <v>143</v>
      </c>
      <c r="C390">
        <v>50</v>
      </c>
      <c r="D390" t="s">
        <v>11</v>
      </c>
      <c r="E390" t="s">
        <v>26</v>
      </c>
      <c r="F390" t="s">
        <v>144</v>
      </c>
      <c r="G390" t="s">
        <v>21</v>
      </c>
      <c r="H390" t="s">
        <v>14</v>
      </c>
      <c r="I390" t="s">
        <v>34</v>
      </c>
      <c r="J390" t="s">
        <v>90</v>
      </c>
      <c r="K390" t="s">
        <v>109</v>
      </c>
      <c r="L390" s="5">
        <v>45873</v>
      </c>
      <c r="M390" s="7">
        <v>0.88194444444444442</v>
      </c>
      <c r="N390" s="7">
        <v>0.2013888888888889</v>
      </c>
      <c r="O390" t="s">
        <v>145</v>
      </c>
      <c r="P390" t="s">
        <v>100</v>
      </c>
      <c r="Q390">
        <v>1450</v>
      </c>
      <c r="R390">
        <v>25.9</v>
      </c>
      <c r="S390" t="s">
        <v>94</v>
      </c>
      <c r="T390">
        <v>0</v>
      </c>
      <c r="U390" t="s">
        <v>107</v>
      </c>
      <c r="V390" t="s">
        <v>125</v>
      </c>
      <c r="W390">
        <v>11800</v>
      </c>
    </row>
    <row r="391" spans="1:23" x14ac:dyDescent="0.35">
      <c r="A391" t="s">
        <v>608</v>
      </c>
      <c r="B391" t="s">
        <v>222</v>
      </c>
      <c r="C391">
        <v>31</v>
      </c>
      <c r="D391" t="s">
        <v>18</v>
      </c>
      <c r="E391" t="s">
        <v>31</v>
      </c>
      <c r="F391" t="s">
        <v>148</v>
      </c>
      <c r="G391" t="s">
        <v>21</v>
      </c>
      <c r="H391" t="s">
        <v>15</v>
      </c>
      <c r="I391" t="s">
        <v>23</v>
      </c>
      <c r="J391" t="s">
        <v>91</v>
      </c>
      <c r="K391" t="s">
        <v>98</v>
      </c>
      <c r="L391" s="5">
        <v>45873</v>
      </c>
      <c r="M391" s="7">
        <v>0.18402777777777779</v>
      </c>
      <c r="N391" s="7">
        <v>0.33333333333333331</v>
      </c>
      <c r="O391" t="s">
        <v>149</v>
      </c>
      <c r="P391" t="s">
        <v>93</v>
      </c>
      <c r="Q391">
        <v>330</v>
      </c>
      <c r="R391">
        <v>13.5</v>
      </c>
      <c r="S391" t="s">
        <v>111</v>
      </c>
      <c r="T391">
        <v>0</v>
      </c>
      <c r="U391" t="s">
        <v>102</v>
      </c>
      <c r="V391" t="s">
        <v>112</v>
      </c>
      <c r="W391">
        <v>2100</v>
      </c>
    </row>
    <row r="392" spans="1:23" x14ac:dyDescent="0.35">
      <c r="A392" t="s">
        <v>609</v>
      </c>
      <c r="B392" t="s">
        <v>224</v>
      </c>
      <c r="C392">
        <v>44</v>
      </c>
      <c r="D392" t="s">
        <v>11</v>
      </c>
      <c r="E392" t="s">
        <v>12</v>
      </c>
      <c r="F392" s="11" t="s">
        <v>225</v>
      </c>
      <c r="G392" t="s">
        <v>13</v>
      </c>
      <c r="H392" t="s">
        <v>22</v>
      </c>
      <c r="I392" t="s">
        <v>57</v>
      </c>
      <c r="J392" t="s">
        <v>97</v>
      </c>
      <c r="K392" t="s">
        <v>121</v>
      </c>
      <c r="L392" s="5">
        <v>45874</v>
      </c>
      <c r="M392" s="7">
        <v>0.38194444444444442</v>
      </c>
      <c r="N392" s="7">
        <v>0.4861111111111111</v>
      </c>
      <c r="O392" t="s">
        <v>226</v>
      </c>
      <c r="P392" t="s">
        <v>93</v>
      </c>
      <c r="Q392">
        <v>125</v>
      </c>
      <c r="R392">
        <v>12</v>
      </c>
      <c r="S392" t="s">
        <v>94</v>
      </c>
      <c r="T392">
        <v>0</v>
      </c>
      <c r="U392" t="s">
        <v>95</v>
      </c>
      <c r="V392" t="s">
        <v>103</v>
      </c>
      <c r="W392">
        <v>2100</v>
      </c>
    </row>
    <row r="393" spans="1:23" x14ac:dyDescent="0.35">
      <c r="A393" t="s">
        <v>610</v>
      </c>
      <c r="B393" t="s">
        <v>30</v>
      </c>
      <c r="C393">
        <v>25</v>
      </c>
      <c r="D393" t="s">
        <v>18</v>
      </c>
      <c r="E393" t="s">
        <v>19</v>
      </c>
      <c r="F393" t="s">
        <v>20</v>
      </c>
      <c r="G393" t="s">
        <v>21</v>
      </c>
      <c r="H393" t="s">
        <v>15</v>
      </c>
      <c r="I393" t="s">
        <v>28</v>
      </c>
      <c r="J393" t="s">
        <v>91</v>
      </c>
      <c r="K393" t="s">
        <v>104</v>
      </c>
      <c r="L393" s="5">
        <v>45874</v>
      </c>
      <c r="M393" s="7">
        <v>5.2083333333333336E-2</v>
      </c>
      <c r="N393" s="7">
        <v>0.40972222222222221</v>
      </c>
      <c r="O393" t="s">
        <v>99</v>
      </c>
      <c r="P393" t="s">
        <v>100</v>
      </c>
      <c r="Q393">
        <v>860</v>
      </c>
      <c r="R393">
        <v>24</v>
      </c>
      <c r="S393" t="s">
        <v>101</v>
      </c>
      <c r="T393">
        <v>50</v>
      </c>
      <c r="U393" t="s">
        <v>102</v>
      </c>
      <c r="V393" t="s">
        <v>96</v>
      </c>
      <c r="W393">
        <v>8400</v>
      </c>
    </row>
    <row r="394" spans="1:23" x14ac:dyDescent="0.35">
      <c r="A394" t="s">
        <v>611</v>
      </c>
      <c r="B394" t="s">
        <v>197</v>
      </c>
      <c r="C394">
        <v>38</v>
      </c>
      <c r="D394" t="s">
        <v>11</v>
      </c>
      <c r="E394" t="s">
        <v>37</v>
      </c>
      <c r="F394" t="s">
        <v>38</v>
      </c>
      <c r="G394" t="s">
        <v>21</v>
      </c>
      <c r="H394" t="s">
        <v>39</v>
      </c>
      <c r="I394" t="s">
        <v>40</v>
      </c>
      <c r="J394" t="s">
        <v>113</v>
      </c>
      <c r="K394" t="s">
        <v>114</v>
      </c>
      <c r="L394" s="5">
        <v>45875</v>
      </c>
      <c r="M394" s="7">
        <v>0.91666666666666663</v>
      </c>
      <c r="N394" s="7">
        <v>0.57291666666666663</v>
      </c>
      <c r="O394" t="s">
        <v>115</v>
      </c>
      <c r="P394" t="s">
        <v>100</v>
      </c>
      <c r="Q394">
        <v>1980</v>
      </c>
      <c r="R394">
        <v>27.5</v>
      </c>
      <c r="S394" t="s">
        <v>94</v>
      </c>
      <c r="T394">
        <v>0</v>
      </c>
      <c r="U394" t="s">
        <v>102</v>
      </c>
      <c r="V394" t="s">
        <v>103</v>
      </c>
      <c r="W394">
        <v>9700</v>
      </c>
    </row>
    <row r="395" spans="1:23" x14ac:dyDescent="0.35">
      <c r="A395" t="s">
        <v>612</v>
      </c>
      <c r="B395" t="s">
        <v>42</v>
      </c>
      <c r="C395">
        <v>31</v>
      </c>
      <c r="D395" t="s">
        <v>18</v>
      </c>
      <c r="E395" t="s">
        <v>43</v>
      </c>
      <c r="F395" t="s">
        <v>44</v>
      </c>
      <c r="G395" t="s">
        <v>21</v>
      </c>
      <c r="H395" t="s">
        <v>15</v>
      </c>
      <c r="I395" t="s">
        <v>45</v>
      </c>
      <c r="J395" t="s">
        <v>91</v>
      </c>
      <c r="K395" t="s">
        <v>116</v>
      </c>
      <c r="L395" s="5">
        <v>45875</v>
      </c>
      <c r="M395" s="7">
        <v>0.15625</v>
      </c>
      <c r="N395" s="7">
        <v>0.47222222222222221</v>
      </c>
      <c r="O395" t="s">
        <v>117</v>
      </c>
      <c r="P395" t="s">
        <v>118</v>
      </c>
      <c r="Q395">
        <v>980</v>
      </c>
      <c r="R395">
        <v>19.3</v>
      </c>
      <c r="S395" t="s">
        <v>94</v>
      </c>
      <c r="T395">
        <v>0</v>
      </c>
      <c r="U395" t="s">
        <v>95</v>
      </c>
      <c r="V395" t="s">
        <v>96</v>
      </c>
      <c r="W395">
        <v>5400</v>
      </c>
    </row>
    <row r="396" spans="1:23" x14ac:dyDescent="0.35">
      <c r="A396" t="s">
        <v>613</v>
      </c>
      <c r="B396" t="s">
        <v>231</v>
      </c>
      <c r="C396">
        <v>35</v>
      </c>
      <c r="D396" t="s">
        <v>11</v>
      </c>
      <c r="E396" t="s">
        <v>26</v>
      </c>
      <c r="F396" t="s">
        <v>232</v>
      </c>
      <c r="G396" t="s">
        <v>21</v>
      </c>
      <c r="H396" t="s">
        <v>22</v>
      </c>
      <c r="I396" t="s">
        <v>28</v>
      </c>
      <c r="J396" t="s">
        <v>97</v>
      </c>
      <c r="K396" t="s">
        <v>104</v>
      </c>
      <c r="L396" s="5">
        <v>45876</v>
      </c>
      <c r="M396" s="7">
        <v>9.0277777777777776E-2</v>
      </c>
      <c r="N396" s="7">
        <v>0.36805555555555558</v>
      </c>
      <c r="O396" t="s">
        <v>119</v>
      </c>
      <c r="P396" t="s">
        <v>100</v>
      </c>
      <c r="Q396">
        <v>1800</v>
      </c>
      <c r="R396">
        <v>26.5</v>
      </c>
      <c r="S396" t="s">
        <v>94</v>
      </c>
      <c r="T396">
        <v>0</v>
      </c>
      <c r="U396" t="s">
        <v>107</v>
      </c>
      <c r="V396" t="s">
        <v>103</v>
      </c>
      <c r="W396">
        <v>12000</v>
      </c>
    </row>
    <row r="397" spans="1:23" x14ac:dyDescent="0.35">
      <c r="A397" t="s">
        <v>614</v>
      </c>
      <c r="B397" t="s">
        <v>234</v>
      </c>
      <c r="C397">
        <v>28</v>
      </c>
      <c r="D397" t="s">
        <v>18</v>
      </c>
      <c r="E397" t="s">
        <v>12</v>
      </c>
      <c r="F397" s="3" t="s">
        <v>235</v>
      </c>
      <c r="G397" t="s">
        <v>13</v>
      </c>
      <c r="H397" t="s">
        <v>14</v>
      </c>
      <c r="I397" t="s">
        <v>15</v>
      </c>
      <c r="J397" t="s">
        <v>90</v>
      </c>
      <c r="K397" t="s">
        <v>91</v>
      </c>
      <c r="L397" s="5">
        <v>45876</v>
      </c>
      <c r="M397" s="7">
        <v>0.28125</v>
      </c>
      <c r="N397" s="7">
        <v>0.3888888888888889</v>
      </c>
      <c r="O397" t="s">
        <v>236</v>
      </c>
      <c r="P397" t="s">
        <v>93</v>
      </c>
      <c r="Q397">
        <v>150</v>
      </c>
      <c r="R397">
        <v>11.2</v>
      </c>
      <c r="S397" t="s">
        <v>101</v>
      </c>
      <c r="T397">
        <v>30</v>
      </c>
      <c r="U397" t="s">
        <v>102</v>
      </c>
      <c r="V397" t="s">
        <v>96</v>
      </c>
      <c r="W397">
        <v>3200</v>
      </c>
    </row>
    <row r="398" spans="1:23" x14ac:dyDescent="0.35">
      <c r="A398" t="s">
        <v>615</v>
      </c>
      <c r="B398" t="s">
        <v>25</v>
      </c>
      <c r="C398">
        <v>41</v>
      </c>
      <c r="D398" t="s">
        <v>11</v>
      </c>
      <c r="E398" t="s">
        <v>26</v>
      </c>
      <c r="F398" t="s">
        <v>27</v>
      </c>
      <c r="G398" t="s">
        <v>21</v>
      </c>
      <c r="H398" t="s">
        <v>15</v>
      </c>
      <c r="I398" t="s">
        <v>28</v>
      </c>
      <c r="J398" t="s">
        <v>91</v>
      </c>
      <c r="K398" t="s">
        <v>104</v>
      </c>
      <c r="L398" s="5">
        <v>45877</v>
      </c>
      <c r="M398" s="7">
        <v>5.5555555555555552E-2</v>
      </c>
      <c r="N398" s="7">
        <v>0.41319444444444442</v>
      </c>
      <c r="O398" t="s">
        <v>105</v>
      </c>
      <c r="P398" t="s">
        <v>106</v>
      </c>
      <c r="Q398">
        <v>2450</v>
      </c>
      <c r="R398">
        <v>30.2</v>
      </c>
      <c r="S398" t="s">
        <v>94</v>
      </c>
      <c r="T398">
        <v>0</v>
      </c>
      <c r="U398" t="s">
        <v>107</v>
      </c>
      <c r="V398" t="s">
        <v>103</v>
      </c>
      <c r="W398">
        <v>13200</v>
      </c>
    </row>
    <row r="399" spans="1:23" x14ac:dyDescent="0.35">
      <c r="A399" t="s">
        <v>616</v>
      </c>
      <c r="B399" t="s">
        <v>30</v>
      </c>
      <c r="C399">
        <v>25</v>
      </c>
      <c r="D399" t="s">
        <v>18</v>
      </c>
      <c r="E399" t="s">
        <v>31</v>
      </c>
      <c r="F399" t="s">
        <v>32</v>
      </c>
      <c r="G399" t="s">
        <v>21</v>
      </c>
      <c r="H399" t="s">
        <v>33</v>
      </c>
      <c r="I399" t="s">
        <v>34</v>
      </c>
      <c r="J399" t="s">
        <v>108</v>
      </c>
      <c r="K399" t="s">
        <v>109</v>
      </c>
      <c r="L399" s="5">
        <v>45877</v>
      </c>
      <c r="M399" s="7">
        <v>0.34027777777777779</v>
      </c>
      <c r="N399" s="7">
        <v>0.58333333333333337</v>
      </c>
      <c r="O399" t="s">
        <v>110</v>
      </c>
      <c r="P399" t="s">
        <v>93</v>
      </c>
      <c r="Q399">
        <v>420</v>
      </c>
      <c r="R399">
        <v>15.6</v>
      </c>
      <c r="S399" t="s">
        <v>111</v>
      </c>
      <c r="T399">
        <v>0</v>
      </c>
      <c r="U399" t="s">
        <v>95</v>
      </c>
      <c r="V399" t="s">
        <v>112</v>
      </c>
      <c r="W399">
        <v>3500</v>
      </c>
    </row>
    <row r="400" spans="1:23" x14ac:dyDescent="0.35">
      <c r="A400" t="s">
        <v>617</v>
      </c>
      <c r="B400" t="s">
        <v>36</v>
      </c>
      <c r="C400">
        <v>38</v>
      </c>
      <c r="D400" t="s">
        <v>11</v>
      </c>
      <c r="E400" t="s">
        <v>37</v>
      </c>
      <c r="F400" t="s">
        <v>38</v>
      </c>
      <c r="G400" t="s">
        <v>21</v>
      </c>
      <c r="H400" t="s">
        <v>39</v>
      </c>
      <c r="I400" t="s">
        <v>40</v>
      </c>
      <c r="J400" t="s">
        <v>113</v>
      </c>
      <c r="K400" t="s">
        <v>114</v>
      </c>
      <c r="L400" s="5">
        <v>45878</v>
      </c>
      <c r="M400" s="7">
        <v>0.91666666666666663</v>
      </c>
      <c r="N400" s="7">
        <v>0.57291666666666663</v>
      </c>
      <c r="O400" t="s">
        <v>115</v>
      </c>
      <c r="P400" t="s">
        <v>100</v>
      </c>
      <c r="Q400">
        <v>1980</v>
      </c>
      <c r="R400">
        <v>27.5</v>
      </c>
      <c r="S400" t="s">
        <v>94</v>
      </c>
      <c r="T400">
        <v>0</v>
      </c>
      <c r="U400" t="s">
        <v>102</v>
      </c>
      <c r="V400" t="s">
        <v>103</v>
      </c>
      <c r="W400">
        <v>9700</v>
      </c>
    </row>
    <row r="401" spans="1:23" x14ac:dyDescent="0.35">
      <c r="A401" t="s">
        <v>618</v>
      </c>
      <c r="B401" t="s">
        <v>42</v>
      </c>
      <c r="C401">
        <v>31</v>
      </c>
      <c r="D401" t="s">
        <v>18</v>
      </c>
      <c r="E401" t="s">
        <v>43</v>
      </c>
      <c r="F401" t="s">
        <v>44</v>
      </c>
      <c r="G401" t="s">
        <v>21</v>
      </c>
      <c r="H401" t="s">
        <v>15</v>
      </c>
      <c r="I401" t="s">
        <v>45</v>
      </c>
      <c r="J401" t="s">
        <v>91</v>
      </c>
      <c r="K401" t="s">
        <v>116</v>
      </c>
      <c r="L401" s="5">
        <v>45878</v>
      </c>
      <c r="M401" s="7">
        <v>0.15625</v>
      </c>
      <c r="N401" s="7">
        <v>0.47222222222222221</v>
      </c>
      <c r="O401" t="s">
        <v>117</v>
      </c>
      <c r="P401" t="s">
        <v>118</v>
      </c>
      <c r="Q401">
        <v>980</v>
      </c>
      <c r="R401">
        <v>19.3</v>
      </c>
      <c r="S401" t="s">
        <v>101</v>
      </c>
      <c r="T401">
        <v>35</v>
      </c>
      <c r="U401" t="s">
        <v>95</v>
      </c>
      <c r="V401" t="s">
        <v>96</v>
      </c>
      <c r="W401">
        <v>5400</v>
      </c>
    </row>
    <row r="402" spans="1:23" x14ac:dyDescent="0.35">
      <c r="A402" t="s">
        <v>619</v>
      </c>
      <c r="B402" t="s">
        <v>620</v>
      </c>
      <c r="C402">
        <v>29</v>
      </c>
      <c r="D402" t="s">
        <v>11</v>
      </c>
      <c r="E402" t="s">
        <v>12</v>
      </c>
      <c r="F402" s="11" t="s">
        <v>719</v>
      </c>
      <c r="G402" t="s">
        <v>13</v>
      </c>
      <c r="H402" t="s">
        <v>15</v>
      </c>
      <c r="I402" t="s">
        <v>22</v>
      </c>
      <c r="J402" t="s">
        <v>91</v>
      </c>
      <c r="K402" t="s">
        <v>97</v>
      </c>
      <c r="L402" s="5">
        <v>45879</v>
      </c>
      <c r="M402" s="7">
        <v>0.25694444444444442</v>
      </c>
      <c r="N402" s="7">
        <v>0.34375</v>
      </c>
      <c r="O402" t="s">
        <v>92</v>
      </c>
      <c r="P402" t="s">
        <v>93</v>
      </c>
      <c r="Q402">
        <v>120</v>
      </c>
      <c r="R402">
        <v>10.5</v>
      </c>
      <c r="S402" t="s">
        <v>94</v>
      </c>
      <c r="T402">
        <v>0</v>
      </c>
      <c r="U402" t="s">
        <v>102</v>
      </c>
      <c r="V402" t="s">
        <v>103</v>
      </c>
      <c r="W402">
        <v>1500</v>
      </c>
    </row>
    <row r="403" spans="1:23" x14ac:dyDescent="0.35">
      <c r="A403" t="s">
        <v>621</v>
      </c>
      <c r="B403" t="s">
        <v>622</v>
      </c>
      <c r="C403">
        <v>26</v>
      </c>
      <c r="D403" t="s">
        <v>18</v>
      </c>
      <c r="E403" t="s">
        <v>19</v>
      </c>
      <c r="F403" t="s">
        <v>623</v>
      </c>
      <c r="G403" t="s">
        <v>13</v>
      </c>
      <c r="H403" t="s">
        <v>14</v>
      </c>
      <c r="I403" t="s">
        <v>33</v>
      </c>
      <c r="J403" t="s">
        <v>90</v>
      </c>
      <c r="K403" t="s">
        <v>108</v>
      </c>
      <c r="L403" s="5">
        <v>45879</v>
      </c>
      <c r="M403" s="7">
        <v>0.39583333333333331</v>
      </c>
      <c r="N403" s="7">
        <v>0.44791666666666669</v>
      </c>
      <c r="O403" t="s">
        <v>236</v>
      </c>
      <c r="P403" t="s">
        <v>93</v>
      </c>
      <c r="Q403">
        <v>95</v>
      </c>
      <c r="R403">
        <v>9.1999999999999993</v>
      </c>
      <c r="S403" t="s">
        <v>101</v>
      </c>
      <c r="T403">
        <v>25</v>
      </c>
      <c r="U403" t="s">
        <v>95</v>
      </c>
      <c r="V403" t="s">
        <v>96</v>
      </c>
      <c r="W403">
        <v>2100</v>
      </c>
    </row>
    <row r="404" spans="1:23" x14ac:dyDescent="0.35">
      <c r="A404" t="s">
        <v>624</v>
      </c>
      <c r="B404" t="s">
        <v>625</v>
      </c>
      <c r="C404">
        <v>34</v>
      </c>
      <c r="D404" t="s">
        <v>11</v>
      </c>
      <c r="E404" t="s">
        <v>26</v>
      </c>
      <c r="F404" t="s">
        <v>63</v>
      </c>
      <c r="G404" t="s">
        <v>21</v>
      </c>
      <c r="H404" t="s">
        <v>22</v>
      </c>
      <c r="I404" t="s">
        <v>23</v>
      </c>
      <c r="J404" t="s">
        <v>97</v>
      </c>
      <c r="K404" t="s">
        <v>98</v>
      </c>
      <c r="L404" s="5">
        <v>45880</v>
      </c>
      <c r="M404" s="7">
        <v>0.95833333333333337</v>
      </c>
      <c r="N404" s="7">
        <v>7.6388888888888895E-2</v>
      </c>
      <c r="O404" t="s">
        <v>156</v>
      </c>
      <c r="P404" t="s">
        <v>100</v>
      </c>
      <c r="Q404">
        <v>1150</v>
      </c>
      <c r="R404">
        <v>27</v>
      </c>
      <c r="S404" t="s">
        <v>94</v>
      </c>
      <c r="T404">
        <v>0</v>
      </c>
      <c r="U404" t="s">
        <v>107</v>
      </c>
      <c r="V404" t="s">
        <v>125</v>
      </c>
      <c r="W404">
        <v>12000</v>
      </c>
    </row>
    <row r="405" spans="1:23" x14ac:dyDescent="0.35">
      <c r="A405" t="s">
        <v>626</v>
      </c>
      <c r="B405" t="s">
        <v>627</v>
      </c>
      <c r="C405">
        <v>31</v>
      </c>
      <c r="D405" t="s">
        <v>18</v>
      </c>
      <c r="E405" t="s">
        <v>31</v>
      </c>
      <c r="F405" t="s">
        <v>628</v>
      </c>
      <c r="G405" t="s">
        <v>21</v>
      </c>
      <c r="H405" t="s">
        <v>15</v>
      </c>
      <c r="I405" t="s">
        <v>629</v>
      </c>
      <c r="J405" t="s">
        <v>91</v>
      </c>
      <c r="K405" t="s">
        <v>630</v>
      </c>
      <c r="L405" s="5">
        <v>45880</v>
      </c>
      <c r="M405" s="7">
        <v>0.19444444444444445</v>
      </c>
      <c r="N405" s="7">
        <v>0.25694444444444442</v>
      </c>
      <c r="O405" t="s">
        <v>172</v>
      </c>
      <c r="P405" t="s">
        <v>93</v>
      </c>
      <c r="Q405">
        <v>310</v>
      </c>
      <c r="R405">
        <v>14.5</v>
      </c>
      <c r="S405" t="s">
        <v>111</v>
      </c>
      <c r="T405">
        <v>0</v>
      </c>
      <c r="U405" t="s">
        <v>95</v>
      </c>
      <c r="V405" t="s">
        <v>112</v>
      </c>
      <c r="W405">
        <v>3400</v>
      </c>
    </row>
    <row r="406" spans="1:23" x14ac:dyDescent="0.35">
      <c r="A406" t="s">
        <v>631</v>
      </c>
      <c r="B406" t="s">
        <v>632</v>
      </c>
      <c r="C406">
        <v>40</v>
      </c>
      <c r="D406" t="s">
        <v>11</v>
      </c>
      <c r="E406" t="s">
        <v>43</v>
      </c>
      <c r="F406" t="s">
        <v>633</v>
      </c>
      <c r="G406" t="s">
        <v>21</v>
      </c>
      <c r="H406" t="s">
        <v>33</v>
      </c>
      <c r="I406" t="s">
        <v>45</v>
      </c>
      <c r="J406" t="s">
        <v>108</v>
      </c>
      <c r="K406" t="s">
        <v>116</v>
      </c>
      <c r="L406" s="5">
        <v>45881</v>
      </c>
      <c r="M406" s="7">
        <v>9.7222222222222224E-2</v>
      </c>
      <c r="N406" s="7">
        <v>0.4375</v>
      </c>
      <c r="O406" t="s">
        <v>168</v>
      </c>
      <c r="P406" t="s">
        <v>100</v>
      </c>
      <c r="Q406">
        <v>1700</v>
      </c>
      <c r="R406">
        <v>25.6</v>
      </c>
      <c r="S406" t="s">
        <v>94</v>
      </c>
      <c r="T406">
        <v>0</v>
      </c>
      <c r="U406" t="s">
        <v>102</v>
      </c>
      <c r="V406" t="s">
        <v>103</v>
      </c>
      <c r="W406">
        <v>9800</v>
      </c>
    </row>
    <row r="407" spans="1:23" x14ac:dyDescent="0.35">
      <c r="A407" t="s">
        <v>634</v>
      </c>
      <c r="B407" t="s">
        <v>635</v>
      </c>
      <c r="C407">
        <v>27</v>
      </c>
      <c r="D407" t="s">
        <v>18</v>
      </c>
      <c r="E407" t="s">
        <v>12</v>
      </c>
      <c r="F407" s="11" t="s">
        <v>720</v>
      </c>
      <c r="G407" t="s">
        <v>13</v>
      </c>
      <c r="H407" t="s">
        <v>39</v>
      </c>
      <c r="I407" t="s">
        <v>57</v>
      </c>
      <c r="J407" t="s">
        <v>113</v>
      </c>
      <c r="K407" t="s">
        <v>121</v>
      </c>
      <c r="L407" s="5">
        <v>45881</v>
      </c>
      <c r="M407" s="7">
        <v>0.55208333333333337</v>
      </c>
      <c r="N407" s="7">
        <v>0.64930555555555558</v>
      </c>
      <c r="O407" t="s">
        <v>176</v>
      </c>
      <c r="P407" t="s">
        <v>93</v>
      </c>
      <c r="Q407">
        <v>130</v>
      </c>
      <c r="R407">
        <v>11</v>
      </c>
      <c r="S407" t="s">
        <v>94</v>
      </c>
      <c r="T407">
        <v>0</v>
      </c>
      <c r="U407" t="s">
        <v>95</v>
      </c>
      <c r="V407" t="s">
        <v>96</v>
      </c>
      <c r="W407">
        <v>2500</v>
      </c>
    </row>
    <row r="408" spans="1:23" x14ac:dyDescent="0.35">
      <c r="A408" t="s">
        <v>636</v>
      </c>
      <c r="B408" t="s">
        <v>231</v>
      </c>
      <c r="C408">
        <v>36</v>
      </c>
      <c r="D408" t="s">
        <v>11</v>
      </c>
      <c r="E408" t="s">
        <v>48</v>
      </c>
      <c r="F408" t="s">
        <v>637</v>
      </c>
      <c r="G408" t="s">
        <v>21</v>
      </c>
      <c r="H408" t="s">
        <v>14</v>
      </c>
      <c r="I408" t="s">
        <v>28</v>
      </c>
      <c r="J408" t="s">
        <v>90</v>
      </c>
      <c r="K408" t="s">
        <v>104</v>
      </c>
      <c r="L408" s="5">
        <v>45882</v>
      </c>
      <c r="M408" s="7">
        <v>0.41666666666666669</v>
      </c>
      <c r="N408" s="7">
        <v>0.76736111111111116</v>
      </c>
      <c r="O408" t="s">
        <v>99</v>
      </c>
      <c r="P408" t="s">
        <v>100</v>
      </c>
      <c r="Q408">
        <v>1600</v>
      </c>
      <c r="R408">
        <v>26.3</v>
      </c>
      <c r="S408" t="s">
        <v>101</v>
      </c>
      <c r="T408">
        <v>40</v>
      </c>
      <c r="U408" t="s">
        <v>107</v>
      </c>
      <c r="V408" t="s">
        <v>103</v>
      </c>
      <c r="W408">
        <v>11000</v>
      </c>
    </row>
    <row r="409" spans="1:23" x14ac:dyDescent="0.35">
      <c r="A409" t="s">
        <v>638</v>
      </c>
      <c r="B409" t="s">
        <v>639</v>
      </c>
      <c r="C409">
        <v>24</v>
      </c>
      <c r="D409" t="s">
        <v>18</v>
      </c>
      <c r="E409" t="s">
        <v>52</v>
      </c>
      <c r="F409" t="s">
        <v>640</v>
      </c>
      <c r="G409" t="s">
        <v>21</v>
      </c>
      <c r="H409" t="s">
        <v>22</v>
      </c>
      <c r="I409" t="s">
        <v>40</v>
      </c>
      <c r="J409" t="s">
        <v>97</v>
      </c>
      <c r="K409" t="s">
        <v>114</v>
      </c>
      <c r="L409" s="5">
        <v>45882</v>
      </c>
      <c r="M409" s="7">
        <v>0.23958333333333334</v>
      </c>
      <c r="N409" s="7">
        <v>0.70486111111111116</v>
      </c>
      <c r="O409" t="s">
        <v>641</v>
      </c>
      <c r="P409" t="s">
        <v>93</v>
      </c>
      <c r="Q409">
        <v>760</v>
      </c>
      <c r="R409">
        <v>16.8</v>
      </c>
      <c r="S409" t="s">
        <v>94</v>
      </c>
      <c r="T409">
        <v>0</v>
      </c>
      <c r="U409" t="s">
        <v>102</v>
      </c>
      <c r="V409" t="s">
        <v>96</v>
      </c>
      <c r="W409">
        <v>4200</v>
      </c>
    </row>
    <row r="410" spans="1:23" x14ac:dyDescent="0.35">
      <c r="A410" t="s">
        <v>642</v>
      </c>
      <c r="B410" t="s">
        <v>643</v>
      </c>
      <c r="C410">
        <v>38</v>
      </c>
      <c r="D410" t="s">
        <v>11</v>
      </c>
      <c r="E410" t="s">
        <v>37</v>
      </c>
      <c r="F410" t="s">
        <v>644</v>
      </c>
      <c r="G410" t="s">
        <v>21</v>
      </c>
      <c r="H410" t="s">
        <v>15</v>
      </c>
      <c r="I410" t="s">
        <v>34</v>
      </c>
      <c r="J410" t="s">
        <v>91</v>
      </c>
      <c r="K410" t="s">
        <v>109</v>
      </c>
      <c r="L410" s="5">
        <v>45883</v>
      </c>
      <c r="M410" s="7">
        <v>0.97916666666666663</v>
      </c>
      <c r="N410" s="7">
        <v>0.30555555555555558</v>
      </c>
      <c r="O410" t="s">
        <v>645</v>
      </c>
      <c r="P410" t="s">
        <v>100</v>
      </c>
      <c r="Q410">
        <v>1900</v>
      </c>
      <c r="R410">
        <v>28.2</v>
      </c>
      <c r="S410" t="s">
        <v>94</v>
      </c>
      <c r="T410">
        <v>0</v>
      </c>
      <c r="U410" t="s">
        <v>95</v>
      </c>
      <c r="V410" t="s">
        <v>103</v>
      </c>
      <c r="W410">
        <v>10500</v>
      </c>
    </row>
    <row r="411" spans="1:23" x14ac:dyDescent="0.35">
      <c r="A411" t="s">
        <v>646</v>
      </c>
      <c r="B411" t="s">
        <v>647</v>
      </c>
      <c r="C411">
        <v>30</v>
      </c>
      <c r="D411" t="s">
        <v>18</v>
      </c>
      <c r="E411" t="s">
        <v>12</v>
      </c>
      <c r="F411" s="11" t="s">
        <v>225</v>
      </c>
      <c r="G411" t="s">
        <v>13</v>
      </c>
      <c r="H411" t="s">
        <v>57</v>
      </c>
      <c r="I411" t="s">
        <v>15</v>
      </c>
      <c r="J411" t="s">
        <v>121</v>
      </c>
      <c r="K411" t="s">
        <v>91</v>
      </c>
      <c r="L411" s="5">
        <v>45883</v>
      </c>
      <c r="M411" s="7">
        <v>0.68055555555555558</v>
      </c>
      <c r="N411" s="7">
        <v>0.78125</v>
      </c>
      <c r="O411" t="s">
        <v>648</v>
      </c>
      <c r="P411" t="s">
        <v>93</v>
      </c>
      <c r="Q411">
        <v>140</v>
      </c>
      <c r="R411">
        <v>10.9</v>
      </c>
      <c r="S411" t="s">
        <v>111</v>
      </c>
      <c r="T411">
        <v>0</v>
      </c>
      <c r="U411" t="s">
        <v>102</v>
      </c>
      <c r="V411" t="s">
        <v>96</v>
      </c>
      <c r="W411">
        <v>1800</v>
      </c>
    </row>
    <row r="412" spans="1:23" x14ac:dyDescent="0.35">
      <c r="A412" t="s">
        <v>649</v>
      </c>
      <c r="B412" t="s">
        <v>650</v>
      </c>
      <c r="C412">
        <v>33</v>
      </c>
      <c r="D412" t="s">
        <v>11</v>
      </c>
      <c r="E412" t="s">
        <v>19</v>
      </c>
      <c r="F412" t="s">
        <v>651</v>
      </c>
      <c r="G412" t="s">
        <v>21</v>
      </c>
      <c r="H412" t="s">
        <v>15</v>
      </c>
      <c r="I412" t="s">
        <v>28</v>
      </c>
      <c r="J412" t="s">
        <v>91</v>
      </c>
      <c r="K412" t="s">
        <v>104</v>
      </c>
      <c r="L412" s="5">
        <v>45884</v>
      </c>
      <c r="M412" s="7">
        <v>4.8611111111111112E-2</v>
      </c>
      <c r="N412" s="7">
        <v>0.40277777777777779</v>
      </c>
      <c r="O412" t="s">
        <v>652</v>
      </c>
      <c r="P412" t="s">
        <v>118</v>
      </c>
      <c r="Q412">
        <v>890</v>
      </c>
      <c r="R412">
        <v>22</v>
      </c>
      <c r="S412" t="s">
        <v>101</v>
      </c>
      <c r="T412">
        <v>60</v>
      </c>
      <c r="U412" t="s">
        <v>95</v>
      </c>
      <c r="V412" t="s">
        <v>103</v>
      </c>
      <c r="W412">
        <v>7600</v>
      </c>
    </row>
    <row r="413" spans="1:23" x14ac:dyDescent="0.35">
      <c r="A413" t="s">
        <v>653</v>
      </c>
      <c r="B413" t="s">
        <v>654</v>
      </c>
      <c r="C413">
        <v>28</v>
      </c>
      <c r="D413" t="s">
        <v>18</v>
      </c>
      <c r="E413" t="s">
        <v>26</v>
      </c>
      <c r="F413" t="s">
        <v>655</v>
      </c>
      <c r="G413" t="s">
        <v>21</v>
      </c>
      <c r="H413" t="s">
        <v>33</v>
      </c>
      <c r="I413" t="s">
        <v>23</v>
      </c>
      <c r="J413" t="s">
        <v>108</v>
      </c>
      <c r="K413" t="s">
        <v>98</v>
      </c>
      <c r="L413" s="5">
        <v>45884</v>
      </c>
      <c r="M413" s="7">
        <v>0.89583333333333337</v>
      </c>
      <c r="N413" s="7">
        <v>2.0833333333333332E-2</v>
      </c>
      <c r="O413" t="s">
        <v>656</v>
      </c>
      <c r="P413" t="s">
        <v>93</v>
      </c>
      <c r="Q413">
        <v>410</v>
      </c>
      <c r="R413">
        <v>15.7</v>
      </c>
      <c r="S413" t="s">
        <v>94</v>
      </c>
      <c r="T413">
        <v>0</v>
      </c>
      <c r="U413" t="s">
        <v>102</v>
      </c>
      <c r="V413" t="s">
        <v>96</v>
      </c>
      <c r="W413">
        <v>5000</v>
      </c>
    </row>
    <row r="414" spans="1:23" x14ac:dyDescent="0.35">
      <c r="A414" t="s">
        <v>657</v>
      </c>
      <c r="B414" t="s">
        <v>658</v>
      </c>
      <c r="C414">
        <v>41</v>
      </c>
      <c r="D414" t="s">
        <v>11</v>
      </c>
      <c r="E414" t="s">
        <v>31</v>
      </c>
      <c r="F414" t="s">
        <v>659</v>
      </c>
      <c r="G414" t="s">
        <v>21</v>
      </c>
      <c r="H414" t="s">
        <v>15</v>
      </c>
      <c r="I414" t="s">
        <v>629</v>
      </c>
      <c r="J414" t="s">
        <v>91</v>
      </c>
      <c r="K414" t="s">
        <v>630</v>
      </c>
      <c r="L414" s="5">
        <v>45885</v>
      </c>
      <c r="M414" s="7">
        <v>0.1423611111111111</v>
      </c>
      <c r="N414" s="7">
        <v>0.21527777777777779</v>
      </c>
      <c r="O414" t="s">
        <v>660</v>
      </c>
      <c r="P414" t="s">
        <v>100</v>
      </c>
      <c r="Q414">
        <v>1320</v>
      </c>
      <c r="R414">
        <v>24.5</v>
      </c>
      <c r="S414" t="s">
        <v>94</v>
      </c>
      <c r="T414">
        <v>0</v>
      </c>
      <c r="U414" t="s">
        <v>107</v>
      </c>
      <c r="V414" t="s">
        <v>103</v>
      </c>
      <c r="W414">
        <v>9900</v>
      </c>
    </row>
    <row r="415" spans="1:23" x14ac:dyDescent="0.35">
      <c r="A415" t="s">
        <v>661</v>
      </c>
      <c r="B415" t="s">
        <v>662</v>
      </c>
      <c r="C415">
        <v>25</v>
      </c>
      <c r="D415" t="s">
        <v>18</v>
      </c>
      <c r="E415" t="s">
        <v>12</v>
      </c>
      <c r="F415" s="3" t="s">
        <v>663</v>
      </c>
      <c r="G415" t="s">
        <v>13</v>
      </c>
      <c r="H415" t="s">
        <v>14</v>
      </c>
      <c r="I415" t="s">
        <v>39</v>
      </c>
      <c r="J415" t="s">
        <v>90</v>
      </c>
      <c r="K415" t="s">
        <v>113</v>
      </c>
      <c r="L415" s="5">
        <v>45885</v>
      </c>
      <c r="M415" s="7">
        <v>0.3611111111111111</v>
      </c>
      <c r="N415" s="7">
        <v>0.43055555555555558</v>
      </c>
      <c r="O415" t="s">
        <v>664</v>
      </c>
      <c r="P415" t="s">
        <v>93</v>
      </c>
      <c r="Q415">
        <v>115</v>
      </c>
      <c r="R415">
        <v>9.8000000000000007</v>
      </c>
      <c r="S415" t="s">
        <v>101</v>
      </c>
      <c r="T415">
        <v>15</v>
      </c>
      <c r="U415" t="s">
        <v>95</v>
      </c>
      <c r="V415" t="s">
        <v>96</v>
      </c>
      <c r="W415">
        <v>2000</v>
      </c>
    </row>
    <row r="416" spans="1:23" x14ac:dyDescent="0.35">
      <c r="A416" t="s">
        <v>665</v>
      </c>
      <c r="B416" t="s">
        <v>182</v>
      </c>
      <c r="C416">
        <v>39</v>
      </c>
      <c r="D416" t="s">
        <v>11</v>
      </c>
      <c r="E416" t="s">
        <v>43</v>
      </c>
      <c r="F416" t="s">
        <v>666</v>
      </c>
      <c r="G416" t="s">
        <v>21</v>
      </c>
      <c r="H416" t="s">
        <v>15</v>
      </c>
      <c r="I416" t="s">
        <v>45</v>
      </c>
      <c r="J416" t="s">
        <v>91</v>
      </c>
      <c r="K416" t="s">
        <v>116</v>
      </c>
      <c r="L416" s="5">
        <v>45886</v>
      </c>
      <c r="M416" s="7">
        <v>8.3333333333333329E-2</v>
      </c>
      <c r="N416" s="7">
        <v>0.42708333333333331</v>
      </c>
      <c r="O416" t="s">
        <v>191</v>
      </c>
      <c r="P416" t="s">
        <v>106</v>
      </c>
      <c r="Q416">
        <v>2500</v>
      </c>
      <c r="R416">
        <v>30</v>
      </c>
      <c r="S416" t="s">
        <v>94</v>
      </c>
      <c r="T416">
        <v>0</v>
      </c>
      <c r="U416" t="s">
        <v>102</v>
      </c>
      <c r="V416" t="s">
        <v>103</v>
      </c>
      <c r="W416">
        <v>15000</v>
      </c>
    </row>
    <row r="417" spans="1:23" x14ac:dyDescent="0.35">
      <c r="A417" t="s">
        <v>667</v>
      </c>
      <c r="B417" t="s">
        <v>668</v>
      </c>
      <c r="C417">
        <v>32</v>
      </c>
      <c r="D417" t="s">
        <v>18</v>
      </c>
      <c r="E417" t="s">
        <v>52</v>
      </c>
      <c r="F417" t="s">
        <v>669</v>
      </c>
      <c r="G417" t="s">
        <v>21</v>
      </c>
      <c r="H417" t="s">
        <v>22</v>
      </c>
      <c r="I417" t="s">
        <v>670</v>
      </c>
      <c r="J417" t="s">
        <v>97</v>
      </c>
      <c r="K417" t="s">
        <v>671</v>
      </c>
      <c r="L417" s="5">
        <v>45886</v>
      </c>
      <c r="M417" s="7">
        <v>0.25</v>
      </c>
      <c r="N417" s="7">
        <v>0.77083333333333337</v>
      </c>
      <c r="O417" t="s">
        <v>672</v>
      </c>
      <c r="P417" t="s">
        <v>93</v>
      </c>
      <c r="Q417">
        <v>820</v>
      </c>
      <c r="R417">
        <v>18.100000000000001</v>
      </c>
      <c r="S417" t="s">
        <v>94</v>
      </c>
      <c r="T417">
        <v>0</v>
      </c>
      <c r="U417" t="s">
        <v>95</v>
      </c>
      <c r="V417" t="s">
        <v>96</v>
      </c>
      <c r="W417">
        <v>4300</v>
      </c>
    </row>
    <row r="418" spans="1:23" x14ac:dyDescent="0.35">
      <c r="A418" t="s">
        <v>673</v>
      </c>
      <c r="B418" t="s">
        <v>674</v>
      </c>
      <c r="C418">
        <v>37</v>
      </c>
      <c r="D418" t="s">
        <v>11</v>
      </c>
      <c r="E418" t="s">
        <v>12</v>
      </c>
      <c r="F418" s="3" t="s">
        <v>675</v>
      </c>
      <c r="G418" t="s">
        <v>13</v>
      </c>
      <c r="H418" t="s">
        <v>15</v>
      </c>
      <c r="I418" t="s">
        <v>33</v>
      </c>
      <c r="J418" t="s">
        <v>91</v>
      </c>
      <c r="K418" t="s">
        <v>108</v>
      </c>
      <c r="L418" s="5">
        <v>45887</v>
      </c>
      <c r="M418" s="7">
        <v>0.46527777777777779</v>
      </c>
      <c r="N418" s="7">
        <v>0.55902777777777779</v>
      </c>
      <c r="O418" t="s">
        <v>676</v>
      </c>
      <c r="P418" t="s">
        <v>93</v>
      </c>
      <c r="Q418">
        <v>150</v>
      </c>
      <c r="R418">
        <v>12</v>
      </c>
      <c r="S418" t="s">
        <v>94</v>
      </c>
      <c r="T418">
        <v>0</v>
      </c>
      <c r="U418" t="s">
        <v>102</v>
      </c>
      <c r="V418" t="s">
        <v>103</v>
      </c>
      <c r="W418">
        <v>2200</v>
      </c>
    </row>
    <row r="419" spans="1:23" x14ac:dyDescent="0.35">
      <c r="A419" t="s">
        <v>677</v>
      </c>
      <c r="B419" t="s">
        <v>257</v>
      </c>
      <c r="C419">
        <v>29</v>
      </c>
      <c r="D419" t="s">
        <v>18</v>
      </c>
      <c r="E419" t="s">
        <v>19</v>
      </c>
      <c r="F419" t="s">
        <v>678</v>
      </c>
      <c r="G419" t="s">
        <v>21</v>
      </c>
      <c r="H419" t="s">
        <v>14</v>
      </c>
      <c r="I419" t="s">
        <v>23</v>
      </c>
      <c r="J419" t="s">
        <v>90</v>
      </c>
      <c r="K419" t="s">
        <v>98</v>
      </c>
      <c r="L419" s="5">
        <v>45887</v>
      </c>
      <c r="M419" s="7">
        <v>0.98958333333333337</v>
      </c>
      <c r="N419" s="7">
        <v>0.1076388888888889</v>
      </c>
      <c r="O419" t="s">
        <v>679</v>
      </c>
      <c r="P419" t="s">
        <v>118</v>
      </c>
      <c r="Q419">
        <v>450</v>
      </c>
      <c r="R419">
        <v>17.3</v>
      </c>
      <c r="S419" t="s">
        <v>111</v>
      </c>
      <c r="T419">
        <v>0</v>
      </c>
      <c r="U419" t="s">
        <v>95</v>
      </c>
      <c r="V419" t="s">
        <v>96</v>
      </c>
      <c r="W419">
        <v>3900</v>
      </c>
    </row>
    <row r="420" spans="1:23" x14ac:dyDescent="0.35">
      <c r="A420" t="s">
        <v>680</v>
      </c>
      <c r="B420" t="s">
        <v>681</v>
      </c>
      <c r="C420">
        <v>45</v>
      </c>
      <c r="D420" t="s">
        <v>11</v>
      </c>
      <c r="E420" t="s">
        <v>26</v>
      </c>
      <c r="F420" t="s">
        <v>682</v>
      </c>
      <c r="G420" t="s">
        <v>21</v>
      </c>
      <c r="H420" t="s">
        <v>22</v>
      </c>
      <c r="I420" t="s">
        <v>28</v>
      </c>
      <c r="J420" t="s">
        <v>97</v>
      </c>
      <c r="K420" t="s">
        <v>104</v>
      </c>
      <c r="L420" s="5">
        <v>45888</v>
      </c>
      <c r="M420" s="7">
        <v>9.375E-2</v>
      </c>
      <c r="N420" s="7">
        <v>0.3611111111111111</v>
      </c>
      <c r="O420" t="s">
        <v>683</v>
      </c>
      <c r="P420" t="s">
        <v>106</v>
      </c>
      <c r="Q420">
        <v>2600</v>
      </c>
      <c r="R420">
        <v>31</v>
      </c>
      <c r="S420" t="s">
        <v>94</v>
      </c>
      <c r="T420">
        <v>0</v>
      </c>
      <c r="U420" t="s">
        <v>107</v>
      </c>
      <c r="V420" t="s">
        <v>103</v>
      </c>
      <c r="W420">
        <v>16000</v>
      </c>
    </row>
    <row r="421" spans="1:23" x14ac:dyDescent="0.35">
      <c r="A421" t="s">
        <v>684</v>
      </c>
      <c r="B421" t="s">
        <v>685</v>
      </c>
      <c r="C421">
        <v>27</v>
      </c>
      <c r="D421" t="s">
        <v>18</v>
      </c>
      <c r="E421" t="s">
        <v>37</v>
      </c>
      <c r="F421" t="s">
        <v>686</v>
      </c>
      <c r="G421" t="s">
        <v>21</v>
      </c>
      <c r="H421" t="s">
        <v>33</v>
      </c>
      <c r="I421" t="s">
        <v>34</v>
      </c>
      <c r="J421" t="s">
        <v>108</v>
      </c>
      <c r="K421" t="s">
        <v>109</v>
      </c>
      <c r="L421" s="5">
        <v>45888</v>
      </c>
      <c r="M421" s="7">
        <v>0.84027777777777779</v>
      </c>
      <c r="N421" s="7">
        <v>8.3333333333333329E-2</v>
      </c>
      <c r="O421" t="s">
        <v>208</v>
      </c>
      <c r="P421" t="s">
        <v>93</v>
      </c>
      <c r="Q421">
        <v>390</v>
      </c>
      <c r="R421">
        <v>14.2</v>
      </c>
      <c r="S421" t="s">
        <v>101</v>
      </c>
      <c r="T421">
        <v>30</v>
      </c>
      <c r="U421" t="s">
        <v>102</v>
      </c>
      <c r="V421" t="s">
        <v>96</v>
      </c>
      <c r="W421">
        <v>5200</v>
      </c>
    </row>
    <row r="422" spans="1:23" x14ac:dyDescent="0.35">
      <c r="A422" t="s">
        <v>687</v>
      </c>
      <c r="B422" t="s">
        <v>620</v>
      </c>
      <c r="C422">
        <v>29</v>
      </c>
      <c r="D422" t="s">
        <v>11</v>
      </c>
      <c r="E422" t="s">
        <v>12</v>
      </c>
      <c r="F422" s="11" t="s">
        <v>719</v>
      </c>
      <c r="G422" t="s">
        <v>13</v>
      </c>
      <c r="H422" t="s">
        <v>15</v>
      </c>
      <c r="I422" t="s">
        <v>22</v>
      </c>
      <c r="J422" t="s">
        <v>91</v>
      </c>
      <c r="K422" t="s">
        <v>97</v>
      </c>
      <c r="L422" s="5">
        <v>45889</v>
      </c>
      <c r="M422" s="7">
        <v>0.25694444444444442</v>
      </c>
      <c r="N422" s="7">
        <v>0.34375</v>
      </c>
      <c r="O422" t="s">
        <v>92</v>
      </c>
      <c r="P422" t="s">
        <v>93</v>
      </c>
      <c r="Q422">
        <v>120</v>
      </c>
      <c r="R422">
        <v>10.5</v>
      </c>
      <c r="S422" t="s">
        <v>94</v>
      </c>
      <c r="T422">
        <v>0</v>
      </c>
      <c r="U422" t="s">
        <v>102</v>
      </c>
      <c r="V422" t="s">
        <v>103</v>
      </c>
      <c r="W422">
        <v>1500</v>
      </c>
    </row>
    <row r="423" spans="1:23" x14ac:dyDescent="0.35">
      <c r="A423" t="s">
        <v>688</v>
      </c>
      <c r="B423" t="s">
        <v>622</v>
      </c>
      <c r="C423">
        <v>26</v>
      </c>
      <c r="D423" t="s">
        <v>18</v>
      </c>
      <c r="E423" t="s">
        <v>19</v>
      </c>
      <c r="F423" t="s">
        <v>623</v>
      </c>
      <c r="G423" t="s">
        <v>13</v>
      </c>
      <c r="H423" t="s">
        <v>14</v>
      </c>
      <c r="I423" t="s">
        <v>33</v>
      </c>
      <c r="J423" t="s">
        <v>90</v>
      </c>
      <c r="K423" t="s">
        <v>108</v>
      </c>
      <c r="L423" s="5">
        <v>45889</v>
      </c>
      <c r="M423" s="7">
        <v>0.39583333333333331</v>
      </c>
      <c r="N423" s="7">
        <v>0.44791666666666669</v>
      </c>
      <c r="O423" t="s">
        <v>236</v>
      </c>
      <c r="P423" t="s">
        <v>93</v>
      </c>
      <c r="Q423">
        <v>95</v>
      </c>
      <c r="R423">
        <v>9.1999999999999993</v>
      </c>
      <c r="S423" t="s">
        <v>101</v>
      </c>
      <c r="T423">
        <v>25</v>
      </c>
      <c r="U423" t="s">
        <v>95</v>
      </c>
      <c r="V423" t="s">
        <v>96</v>
      </c>
      <c r="W423">
        <v>2100</v>
      </c>
    </row>
    <row r="424" spans="1:23" x14ac:dyDescent="0.35">
      <c r="A424" t="s">
        <v>689</v>
      </c>
      <c r="B424" t="s">
        <v>625</v>
      </c>
      <c r="C424">
        <v>34</v>
      </c>
      <c r="D424" t="s">
        <v>11</v>
      </c>
      <c r="E424" t="s">
        <v>26</v>
      </c>
      <c r="F424" t="s">
        <v>63</v>
      </c>
      <c r="G424" t="s">
        <v>21</v>
      </c>
      <c r="H424" t="s">
        <v>22</v>
      </c>
      <c r="I424" t="s">
        <v>23</v>
      </c>
      <c r="J424" t="s">
        <v>97</v>
      </c>
      <c r="K424" t="s">
        <v>98</v>
      </c>
      <c r="L424" s="5">
        <v>45890</v>
      </c>
      <c r="M424" s="7">
        <v>0.95833333333333337</v>
      </c>
      <c r="N424" s="7">
        <v>7.6388888888888895E-2</v>
      </c>
      <c r="O424" t="s">
        <v>156</v>
      </c>
      <c r="P424" t="s">
        <v>100</v>
      </c>
      <c r="Q424">
        <v>1150</v>
      </c>
      <c r="R424">
        <v>27</v>
      </c>
      <c r="S424" t="s">
        <v>94</v>
      </c>
      <c r="T424">
        <v>0</v>
      </c>
      <c r="U424" t="s">
        <v>107</v>
      </c>
      <c r="V424" t="s">
        <v>125</v>
      </c>
      <c r="W424">
        <v>12000</v>
      </c>
    </row>
    <row r="425" spans="1:23" x14ac:dyDescent="0.35">
      <c r="A425" t="s">
        <v>690</v>
      </c>
      <c r="B425" t="s">
        <v>627</v>
      </c>
      <c r="C425">
        <v>31</v>
      </c>
      <c r="D425" t="s">
        <v>18</v>
      </c>
      <c r="E425" t="s">
        <v>31</v>
      </c>
      <c r="F425" t="s">
        <v>628</v>
      </c>
      <c r="G425" t="s">
        <v>21</v>
      </c>
      <c r="H425" t="s">
        <v>15</v>
      </c>
      <c r="I425" t="s">
        <v>629</v>
      </c>
      <c r="J425" t="s">
        <v>91</v>
      </c>
      <c r="K425" t="s">
        <v>630</v>
      </c>
      <c r="L425" s="5">
        <v>45890</v>
      </c>
      <c r="M425" s="7">
        <v>0.19444444444444445</v>
      </c>
      <c r="N425" s="7">
        <v>0.25694444444444442</v>
      </c>
      <c r="O425" t="s">
        <v>172</v>
      </c>
      <c r="P425" t="s">
        <v>93</v>
      </c>
      <c r="Q425">
        <v>310</v>
      </c>
      <c r="R425">
        <v>14.5</v>
      </c>
      <c r="S425" t="s">
        <v>111</v>
      </c>
      <c r="T425">
        <v>0</v>
      </c>
      <c r="U425" t="s">
        <v>95</v>
      </c>
      <c r="V425" t="s">
        <v>112</v>
      </c>
      <c r="W425">
        <v>3400</v>
      </c>
    </row>
    <row r="426" spans="1:23" x14ac:dyDescent="0.35">
      <c r="A426" t="s">
        <v>691</v>
      </c>
      <c r="B426" t="s">
        <v>632</v>
      </c>
      <c r="C426">
        <v>40</v>
      </c>
      <c r="D426" t="s">
        <v>11</v>
      </c>
      <c r="E426" t="s">
        <v>43</v>
      </c>
      <c r="F426" t="s">
        <v>633</v>
      </c>
      <c r="G426" t="s">
        <v>21</v>
      </c>
      <c r="H426" t="s">
        <v>33</v>
      </c>
      <c r="I426" t="s">
        <v>45</v>
      </c>
      <c r="J426" t="s">
        <v>108</v>
      </c>
      <c r="K426" t="s">
        <v>116</v>
      </c>
      <c r="L426" s="5">
        <v>45891</v>
      </c>
      <c r="M426" s="7">
        <v>9.7222222222222224E-2</v>
      </c>
      <c r="N426" s="7">
        <v>0.4375</v>
      </c>
      <c r="O426" t="s">
        <v>168</v>
      </c>
      <c r="P426" t="s">
        <v>100</v>
      </c>
      <c r="Q426">
        <v>1700</v>
      </c>
      <c r="R426">
        <v>25.6</v>
      </c>
      <c r="S426" t="s">
        <v>94</v>
      </c>
      <c r="T426">
        <v>0</v>
      </c>
      <c r="U426" t="s">
        <v>102</v>
      </c>
      <c r="V426" t="s">
        <v>103</v>
      </c>
      <c r="W426">
        <v>9800</v>
      </c>
    </row>
    <row r="427" spans="1:23" x14ac:dyDescent="0.35">
      <c r="A427" t="s">
        <v>692</v>
      </c>
      <c r="B427" t="s">
        <v>635</v>
      </c>
      <c r="C427">
        <v>27</v>
      </c>
      <c r="D427" t="s">
        <v>18</v>
      </c>
      <c r="E427" t="s">
        <v>12</v>
      </c>
      <c r="F427" s="11" t="s">
        <v>720</v>
      </c>
      <c r="G427" t="s">
        <v>13</v>
      </c>
      <c r="H427" t="s">
        <v>39</v>
      </c>
      <c r="I427" t="s">
        <v>57</v>
      </c>
      <c r="J427" t="s">
        <v>113</v>
      </c>
      <c r="K427" t="s">
        <v>121</v>
      </c>
      <c r="L427" s="5">
        <v>45891</v>
      </c>
      <c r="M427" s="7">
        <v>0.55208333333333337</v>
      </c>
      <c r="N427" s="7">
        <v>0.64930555555555558</v>
      </c>
      <c r="O427" t="s">
        <v>176</v>
      </c>
      <c r="P427" t="s">
        <v>93</v>
      </c>
      <c r="Q427">
        <v>130</v>
      </c>
      <c r="R427">
        <v>11</v>
      </c>
      <c r="S427" t="s">
        <v>94</v>
      </c>
      <c r="T427">
        <v>0</v>
      </c>
      <c r="U427" t="s">
        <v>95</v>
      </c>
      <c r="V427" t="s">
        <v>96</v>
      </c>
      <c r="W427">
        <v>2500</v>
      </c>
    </row>
    <row r="428" spans="1:23" x14ac:dyDescent="0.35">
      <c r="A428" t="s">
        <v>693</v>
      </c>
      <c r="B428" t="s">
        <v>231</v>
      </c>
      <c r="C428">
        <v>36</v>
      </c>
      <c r="D428" t="s">
        <v>11</v>
      </c>
      <c r="E428" t="s">
        <v>48</v>
      </c>
      <c r="F428" t="s">
        <v>637</v>
      </c>
      <c r="G428" t="s">
        <v>21</v>
      </c>
      <c r="H428" t="s">
        <v>14</v>
      </c>
      <c r="I428" t="s">
        <v>28</v>
      </c>
      <c r="J428" t="s">
        <v>90</v>
      </c>
      <c r="K428" t="s">
        <v>104</v>
      </c>
      <c r="L428" s="5">
        <v>45892</v>
      </c>
      <c r="M428" s="7">
        <v>0.41666666666666669</v>
      </c>
      <c r="N428" s="7">
        <v>0.76736111111111116</v>
      </c>
      <c r="O428" t="s">
        <v>99</v>
      </c>
      <c r="P428" t="s">
        <v>100</v>
      </c>
      <c r="Q428">
        <v>1600</v>
      </c>
      <c r="R428">
        <v>26.3</v>
      </c>
      <c r="S428" t="s">
        <v>101</v>
      </c>
      <c r="T428">
        <v>40</v>
      </c>
      <c r="U428" t="s">
        <v>107</v>
      </c>
      <c r="V428" t="s">
        <v>103</v>
      </c>
      <c r="W428">
        <v>11000</v>
      </c>
    </row>
    <row r="429" spans="1:23" x14ac:dyDescent="0.35">
      <c r="A429" t="s">
        <v>694</v>
      </c>
      <c r="B429" t="s">
        <v>639</v>
      </c>
      <c r="C429">
        <v>24</v>
      </c>
      <c r="D429" t="s">
        <v>18</v>
      </c>
      <c r="E429" t="s">
        <v>52</v>
      </c>
      <c r="F429" t="s">
        <v>640</v>
      </c>
      <c r="G429" t="s">
        <v>21</v>
      </c>
      <c r="H429" t="s">
        <v>22</v>
      </c>
      <c r="I429" t="s">
        <v>40</v>
      </c>
      <c r="J429" t="s">
        <v>97</v>
      </c>
      <c r="K429" t="s">
        <v>114</v>
      </c>
      <c r="L429" s="5">
        <v>45892</v>
      </c>
      <c r="M429" s="7">
        <v>0.23958333333333334</v>
      </c>
      <c r="N429" s="7">
        <v>0.70486111111111116</v>
      </c>
      <c r="O429" t="s">
        <v>641</v>
      </c>
      <c r="P429" t="s">
        <v>93</v>
      </c>
      <c r="Q429">
        <v>760</v>
      </c>
      <c r="R429">
        <v>16.8</v>
      </c>
      <c r="S429" t="s">
        <v>94</v>
      </c>
      <c r="T429">
        <v>0</v>
      </c>
      <c r="U429" t="s">
        <v>102</v>
      </c>
      <c r="V429" t="s">
        <v>96</v>
      </c>
      <c r="W429">
        <v>4200</v>
      </c>
    </row>
    <row r="430" spans="1:23" x14ac:dyDescent="0.35">
      <c r="A430" t="s">
        <v>695</v>
      </c>
      <c r="B430" t="s">
        <v>643</v>
      </c>
      <c r="C430">
        <v>38</v>
      </c>
      <c r="D430" t="s">
        <v>11</v>
      </c>
      <c r="E430" t="s">
        <v>37</v>
      </c>
      <c r="F430" t="s">
        <v>644</v>
      </c>
      <c r="G430" t="s">
        <v>21</v>
      </c>
      <c r="H430" t="s">
        <v>15</v>
      </c>
      <c r="I430" t="s">
        <v>34</v>
      </c>
      <c r="J430" t="s">
        <v>91</v>
      </c>
      <c r="K430" t="s">
        <v>109</v>
      </c>
      <c r="L430" s="5">
        <v>45893</v>
      </c>
      <c r="M430" s="7">
        <v>0.97916666666666663</v>
      </c>
      <c r="N430" s="7">
        <v>0.30555555555555558</v>
      </c>
      <c r="O430" t="s">
        <v>645</v>
      </c>
      <c r="P430" t="s">
        <v>100</v>
      </c>
      <c r="Q430">
        <v>1900</v>
      </c>
      <c r="R430">
        <v>28.2</v>
      </c>
      <c r="S430" t="s">
        <v>94</v>
      </c>
      <c r="T430">
        <v>0</v>
      </c>
      <c r="U430" t="s">
        <v>95</v>
      </c>
      <c r="V430" t="s">
        <v>103</v>
      </c>
      <c r="W430">
        <v>10500</v>
      </c>
    </row>
    <row r="431" spans="1:23" x14ac:dyDescent="0.35">
      <c r="A431" t="s">
        <v>696</v>
      </c>
      <c r="B431" t="s">
        <v>647</v>
      </c>
      <c r="C431">
        <v>30</v>
      </c>
      <c r="D431" t="s">
        <v>18</v>
      </c>
      <c r="E431" t="s">
        <v>12</v>
      </c>
      <c r="F431" s="11" t="s">
        <v>225</v>
      </c>
      <c r="G431" t="s">
        <v>13</v>
      </c>
      <c r="H431" t="s">
        <v>57</v>
      </c>
      <c r="I431" t="s">
        <v>15</v>
      </c>
      <c r="J431" t="s">
        <v>121</v>
      </c>
      <c r="K431" t="s">
        <v>91</v>
      </c>
      <c r="L431" s="5">
        <v>45893</v>
      </c>
      <c r="M431" s="7">
        <v>0.68055555555555558</v>
      </c>
      <c r="N431" s="7">
        <v>0.78125</v>
      </c>
      <c r="O431" t="s">
        <v>648</v>
      </c>
      <c r="P431" t="s">
        <v>93</v>
      </c>
      <c r="Q431">
        <v>140</v>
      </c>
      <c r="R431">
        <v>10.9</v>
      </c>
      <c r="S431" t="s">
        <v>111</v>
      </c>
      <c r="T431">
        <v>0</v>
      </c>
      <c r="U431" t="s">
        <v>102</v>
      </c>
      <c r="V431" t="s">
        <v>96</v>
      </c>
      <c r="W431">
        <v>1800</v>
      </c>
    </row>
    <row r="432" spans="1:23" x14ac:dyDescent="0.35">
      <c r="A432" t="s">
        <v>697</v>
      </c>
      <c r="B432" t="s">
        <v>650</v>
      </c>
      <c r="C432">
        <v>33</v>
      </c>
      <c r="D432" t="s">
        <v>11</v>
      </c>
      <c r="E432" t="s">
        <v>19</v>
      </c>
      <c r="F432" t="s">
        <v>651</v>
      </c>
      <c r="G432" t="s">
        <v>21</v>
      </c>
      <c r="H432" t="s">
        <v>15</v>
      </c>
      <c r="I432" t="s">
        <v>28</v>
      </c>
      <c r="J432" t="s">
        <v>91</v>
      </c>
      <c r="K432" t="s">
        <v>104</v>
      </c>
      <c r="L432" s="5">
        <v>45894</v>
      </c>
      <c r="M432" s="7">
        <v>4.8611111111111112E-2</v>
      </c>
      <c r="N432" s="7">
        <v>0.40277777777777779</v>
      </c>
      <c r="O432" t="s">
        <v>652</v>
      </c>
      <c r="P432" t="s">
        <v>118</v>
      </c>
      <c r="Q432">
        <v>890</v>
      </c>
      <c r="R432">
        <v>22</v>
      </c>
      <c r="S432" t="s">
        <v>101</v>
      </c>
      <c r="T432">
        <v>60</v>
      </c>
      <c r="U432" t="s">
        <v>95</v>
      </c>
      <c r="V432" t="s">
        <v>103</v>
      </c>
      <c r="W432">
        <v>7600</v>
      </c>
    </row>
    <row r="433" spans="1:23" x14ac:dyDescent="0.35">
      <c r="A433" t="s">
        <v>698</v>
      </c>
      <c r="B433" t="s">
        <v>654</v>
      </c>
      <c r="C433">
        <v>28</v>
      </c>
      <c r="D433" t="s">
        <v>18</v>
      </c>
      <c r="E433" t="s">
        <v>26</v>
      </c>
      <c r="F433" t="s">
        <v>655</v>
      </c>
      <c r="G433" t="s">
        <v>21</v>
      </c>
      <c r="H433" t="s">
        <v>33</v>
      </c>
      <c r="I433" t="s">
        <v>23</v>
      </c>
      <c r="J433" t="s">
        <v>108</v>
      </c>
      <c r="K433" t="s">
        <v>98</v>
      </c>
      <c r="L433" s="5">
        <v>45894</v>
      </c>
      <c r="M433" s="7">
        <v>0.89583333333333337</v>
      </c>
      <c r="N433" s="7">
        <v>2.0833333333333332E-2</v>
      </c>
      <c r="O433" t="s">
        <v>656</v>
      </c>
      <c r="P433" t="s">
        <v>93</v>
      </c>
      <c r="Q433">
        <v>410</v>
      </c>
      <c r="R433">
        <v>15.7</v>
      </c>
      <c r="S433" t="s">
        <v>94</v>
      </c>
      <c r="T433">
        <v>0</v>
      </c>
      <c r="U433" t="s">
        <v>102</v>
      </c>
      <c r="V433" t="s">
        <v>96</v>
      </c>
      <c r="W433">
        <v>5000</v>
      </c>
    </row>
    <row r="434" spans="1:23" x14ac:dyDescent="0.35">
      <c r="A434" t="s">
        <v>699</v>
      </c>
      <c r="B434" t="s">
        <v>658</v>
      </c>
      <c r="C434">
        <v>41</v>
      </c>
      <c r="D434" t="s">
        <v>11</v>
      </c>
      <c r="E434" t="s">
        <v>31</v>
      </c>
      <c r="F434" t="s">
        <v>659</v>
      </c>
      <c r="G434" t="s">
        <v>21</v>
      </c>
      <c r="H434" t="s">
        <v>15</v>
      </c>
      <c r="I434" t="s">
        <v>629</v>
      </c>
      <c r="J434" t="s">
        <v>91</v>
      </c>
      <c r="K434" t="s">
        <v>630</v>
      </c>
      <c r="L434" s="5">
        <v>45895</v>
      </c>
      <c r="M434" s="7">
        <v>0.1423611111111111</v>
      </c>
      <c r="N434" s="7">
        <v>0.21527777777777779</v>
      </c>
      <c r="O434" t="s">
        <v>660</v>
      </c>
      <c r="P434" t="s">
        <v>100</v>
      </c>
      <c r="Q434">
        <v>1320</v>
      </c>
      <c r="R434">
        <v>24.5</v>
      </c>
      <c r="S434" t="s">
        <v>94</v>
      </c>
      <c r="T434">
        <v>0</v>
      </c>
      <c r="U434" t="s">
        <v>107</v>
      </c>
      <c r="V434" t="s">
        <v>103</v>
      </c>
      <c r="W434">
        <v>9900</v>
      </c>
    </row>
    <row r="435" spans="1:23" x14ac:dyDescent="0.35">
      <c r="A435" t="s">
        <v>700</v>
      </c>
      <c r="B435" t="s">
        <v>662</v>
      </c>
      <c r="C435">
        <v>25</v>
      </c>
      <c r="D435" t="s">
        <v>18</v>
      </c>
      <c r="E435" t="s">
        <v>12</v>
      </c>
      <c r="F435" s="3" t="s">
        <v>663</v>
      </c>
      <c r="G435" t="s">
        <v>13</v>
      </c>
      <c r="H435" t="s">
        <v>14</v>
      </c>
      <c r="I435" t="s">
        <v>39</v>
      </c>
      <c r="J435" t="s">
        <v>90</v>
      </c>
      <c r="K435" t="s">
        <v>113</v>
      </c>
      <c r="L435" s="5">
        <v>45895</v>
      </c>
      <c r="M435" s="7">
        <v>0.3611111111111111</v>
      </c>
      <c r="N435" s="7">
        <v>0.43055555555555558</v>
      </c>
      <c r="O435" t="s">
        <v>664</v>
      </c>
      <c r="P435" t="s">
        <v>93</v>
      </c>
      <c r="Q435">
        <v>115</v>
      </c>
      <c r="R435">
        <v>9.8000000000000007</v>
      </c>
      <c r="S435" t="s">
        <v>101</v>
      </c>
      <c r="T435">
        <v>15</v>
      </c>
      <c r="U435" t="s">
        <v>95</v>
      </c>
      <c r="V435" t="s">
        <v>96</v>
      </c>
      <c r="W435">
        <v>2000</v>
      </c>
    </row>
    <row r="436" spans="1:23" x14ac:dyDescent="0.35">
      <c r="A436" t="s">
        <v>701</v>
      </c>
      <c r="B436" t="s">
        <v>182</v>
      </c>
      <c r="C436">
        <v>39</v>
      </c>
      <c r="D436" t="s">
        <v>11</v>
      </c>
      <c r="E436" t="s">
        <v>43</v>
      </c>
      <c r="F436" t="s">
        <v>666</v>
      </c>
      <c r="G436" t="s">
        <v>21</v>
      </c>
      <c r="H436" t="s">
        <v>15</v>
      </c>
      <c r="I436" t="s">
        <v>45</v>
      </c>
      <c r="J436" t="s">
        <v>91</v>
      </c>
      <c r="K436" t="s">
        <v>116</v>
      </c>
      <c r="L436" s="5">
        <v>45896</v>
      </c>
      <c r="M436" s="7">
        <v>8.3333333333333329E-2</v>
      </c>
      <c r="N436" s="7">
        <v>0.42708333333333331</v>
      </c>
      <c r="O436" t="s">
        <v>191</v>
      </c>
      <c r="P436" t="s">
        <v>106</v>
      </c>
      <c r="Q436">
        <v>2500</v>
      </c>
      <c r="R436">
        <v>30</v>
      </c>
      <c r="S436" t="s">
        <v>94</v>
      </c>
      <c r="T436">
        <v>0</v>
      </c>
      <c r="U436" t="s">
        <v>102</v>
      </c>
      <c r="V436" t="s">
        <v>103</v>
      </c>
      <c r="W436">
        <v>15000</v>
      </c>
    </row>
    <row r="437" spans="1:23" x14ac:dyDescent="0.35">
      <c r="A437" t="s">
        <v>702</v>
      </c>
      <c r="B437" t="s">
        <v>668</v>
      </c>
      <c r="C437">
        <v>32</v>
      </c>
      <c r="D437" t="s">
        <v>18</v>
      </c>
      <c r="E437" t="s">
        <v>52</v>
      </c>
      <c r="F437" t="s">
        <v>669</v>
      </c>
      <c r="G437" t="s">
        <v>21</v>
      </c>
      <c r="H437" t="s">
        <v>22</v>
      </c>
      <c r="I437" t="s">
        <v>670</v>
      </c>
      <c r="J437" t="s">
        <v>97</v>
      </c>
      <c r="K437" t="s">
        <v>671</v>
      </c>
      <c r="L437" s="5">
        <v>45896</v>
      </c>
      <c r="M437" s="7">
        <v>0.25</v>
      </c>
      <c r="N437" s="7">
        <v>0.77083333333333337</v>
      </c>
      <c r="O437" t="s">
        <v>672</v>
      </c>
      <c r="P437" t="s">
        <v>93</v>
      </c>
      <c r="Q437">
        <v>820</v>
      </c>
      <c r="R437">
        <v>18.100000000000001</v>
      </c>
      <c r="S437" t="s">
        <v>94</v>
      </c>
      <c r="T437">
        <v>0</v>
      </c>
      <c r="U437" t="s">
        <v>95</v>
      </c>
      <c r="V437" t="s">
        <v>96</v>
      </c>
      <c r="W437">
        <v>4300</v>
      </c>
    </row>
    <row r="438" spans="1:23" x14ac:dyDescent="0.35">
      <c r="A438" t="s">
        <v>703</v>
      </c>
      <c r="B438" t="s">
        <v>674</v>
      </c>
      <c r="C438">
        <v>37</v>
      </c>
      <c r="D438" t="s">
        <v>11</v>
      </c>
      <c r="E438" t="s">
        <v>12</v>
      </c>
      <c r="F438" s="3" t="s">
        <v>675</v>
      </c>
      <c r="G438" t="s">
        <v>13</v>
      </c>
      <c r="H438" t="s">
        <v>15</v>
      </c>
      <c r="I438" t="s">
        <v>33</v>
      </c>
      <c r="J438" t="s">
        <v>91</v>
      </c>
      <c r="K438" t="s">
        <v>108</v>
      </c>
      <c r="L438" s="5">
        <v>45897</v>
      </c>
      <c r="M438" s="7">
        <v>0.46527777777777779</v>
      </c>
      <c r="N438" s="7">
        <v>0.55902777777777779</v>
      </c>
      <c r="O438" t="s">
        <v>676</v>
      </c>
      <c r="P438" t="s">
        <v>93</v>
      </c>
      <c r="Q438">
        <v>150</v>
      </c>
      <c r="R438">
        <v>12</v>
      </c>
      <c r="S438" t="s">
        <v>94</v>
      </c>
      <c r="T438">
        <v>0</v>
      </c>
      <c r="U438" t="s">
        <v>102</v>
      </c>
      <c r="V438" t="s">
        <v>103</v>
      </c>
      <c r="W438">
        <v>2200</v>
      </c>
    </row>
    <row r="439" spans="1:23" x14ac:dyDescent="0.35">
      <c r="A439" t="s">
        <v>704</v>
      </c>
      <c r="B439" t="s">
        <v>257</v>
      </c>
      <c r="C439">
        <v>29</v>
      </c>
      <c r="D439" t="s">
        <v>18</v>
      </c>
      <c r="E439" t="s">
        <v>19</v>
      </c>
      <c r="F439" t="s">
        <v>678</v>
      </c>
      <c r="G439" t="s">
        <v>21</v>
      </c>
      <c r="H439" t="s">
        <v>14</v>
      </c>
      <c r="I439" t="s">
        <v>23</v>
      </c>
      <c r="J439" t="s">
        <v>90</v>
      </c>
      <c r="K439" t="s">
        <v>98</v>
      </c>
      <c r="L439" s="5">
        <v>45897</v>
      </c>
      <c r="M439" s="7">
        <v>0.98958333333333337</v>
      </c>
      <c r="N439" s="7">
        <v>0.1076388888888889</v>
      </c>
      <c r="O439" t="s">
        <v>679</v>
      </c>
      <c r="P439" t="s">
        <v>118</v>
      </c>
      <c r="Q439">
        <v>450</v>
      </c>
      <c r="R439">
        <v>17.3</v>
      </c>
      <c r="S439" t="s">
        <v>111</v>
      </c>
      <c r="T439">
        <v>0</v>
      </c>
      <c r="U439" t="s">
        <v>95</v>
      </c>
      <c r="V439" t="s">
        <v>96</v>
      </c>
      <c r="W439">
        <v>3900</v>
      </c>
    </row>
    <row r="440" spans="1:23" x14ac:dyDescent="0.35">
      <c r="A440" t="s">
        <v>705</v>
      </c>
      <c r="B440" t="s">
        <v>681</v>
      </c>
      <c r="C440">
        <v>45</v>
      </c>
      <c r="D440" t="s">
        <v>11</v>
      </c>
      <c r="E440" t="s">
        <v>26</v>
      </c>
      <c r="F440" t="s">
        <v>682</v>
      </c>
      <c r="G440" t="s">
        <v>21</v>
      </c>
      <c r="H440" t="s">
        <v>22</v>
      </c>
      <c r="I440" t="s">
        <v>28</v>
      </c>
      <c r="J440" t="s">
        <v>97</v>
      </c>
      <c r="K440" t="s">
        <v>104</v>
      </c>
      <c r="L440" s="5">
        <v>45898</v>
      </c>
      <c r="M440" s="7">
        <v>9.375E-2</v>
      </c>
      <c r="N440" s="7">
        <v>0.3611111111111111</v>
      </c>
      <c r="O440" t="s">
        <v>683</v>
      </c>
      <c r="P440" t="s">
        <v>106</v>
      </c>
      <c r="Q440">
        <v>2600</v>
      </c>
      <c r="R440">
        <v>31</v>
      </c>
      <c r="S440" t="s">
        <v>94</v>
      </c>
      <c r="T440">
        <v>0</v>
      </c>
      <c r="U440" t="s">
        <v>107</v>
      </c>
      <c r="V440" t="s">
        <v>103</v>
      </c>
      <c r="W440">
        <v>16000</v>
      </c>
    </row>
    <row r="441" spans="1:23" x14ac:dyDescent="0.35">
      <c r="A441" t="s">
        <v>706</v>
      </c>
      <c r="B441" t="s">
        <v>685</v>
      </c>
      <c r="C441">
        <v>27</v>
      </c>
      <c r="D441" t="s">
        <v>18</v>
      </c>
      <c r="E441" t="s">
        <v>37</v>
      </c>
      <c r="F441" t="s">
        <v>686</v>
      </c>
      <c r="G441" t="s">
        <v>21</v>
      </c>
      <c r="H441" t="s">
        <v>33</v>
      </c>
      <c r="I441" t="s">
        <v>34</v>
      </c>
      <c r="J441" t="s">
        <v>108</v>
      </c>
      <c r="K441" t="s">
        <v>109</v>
      </c>
      <c r="L441" s="5">
        <v>45898</v>
      </c>
      <c r="M441" s="7">
        <v>0.84027777777777779</v>
      </c>
      <c r="N441" s="7">
        <v>8.3333333333333329E-2</v>
      </c>
      <c r="O441" t="s">
        <v>208</v>
      </c>
      <c r="P441" t="s">
        <v>93</v>
      </c>
      <c r="Q441">
        <v>390</v>
      </c>
      <c r="R441">
        <v>14.2</v>
      </c>
      <c r="S441" t="s">
        <v>101</v>
      </c>
      <c r="T441">
        <v>30</v>
      </c>
      <c r="U441" t="s">
        <v>102</v>
      </c>
      <c r="V441" t="s">
        <v>96</v>
      </c>
      <c r="W441">
        <v>5200</v>
      </c>
    </row>
    <row r="442" spans="1:23" x14ac:dyDescent="0.35">
      <c r="A442" t="s">
        <v>707</v>
      </c>
      <c r="B442" t="s">
        <v>620</v>
      </c>
      <c r="C442">
        <v>29</v>
      </c>
      <c r="D442" t="s">
        <v>11</v>
      </c>
      <c r="E442" t="s">
        <v>12</v>
      </c>
      <c r="F442" s="11" t="s">
        <v>719</v>
      </c>
      <c r="G442" t="s">
        <v>13</v>
      </c>
      <c r="H442" t="s">
        <v>15</v>
      </c>
      <c r="I442" t="s">
        <v>22</v>
      </c>
      <c r="J442" t="s">
        <v>91</v>
      </c>
      <c r="K442" t="s">
        <v>97</v>
      </c>
      <c r="L442" s="5">
        <v>45899</v>
      </c>
      <c r="M442" s="7">
        <v>0.25694444444444442</v>
      </c>
      <c r="N442" s="7">
        <v>0.34375</v>
      </c>
      <c r="O442" t="s">
        <v>92</v>
      </c>
      <c r="P442" t="s">
        <v>93</v>
      </c>
      <c r="Q442">
        <v>120</v>
      </c>
      <c r="R442">
        <v>10.5</v>
      </c>
      <c r="S442" t="s">
        <v>94</v>
      </c>
      <c r="T442">
        <v>0</v>
      </c>
      <c r="U442" t="s">
        <v>102</v>
      </c>
      <c r="V442" t="s">
        <v>103</v>
      </c>
      <c r="W442">
        <v>1500</v>
      </c>
    </row>
    <row r="443" spans="1:23" x14ac:dyDescent="0.35">
      <c r="A443" t="s">
        <v>708</v>
      </c>
      <c r="B443" t="s">
        <v>622</v>
      </c>
      <c r="C443">
        <v>26</v>
      </c>
      <c r="D443" t="s">
        <v>18</v>
      </c>
      <c r="E443" t="s">
        <v>19</v>
      </c>
      <c r="F443" t="s">
        <v>623</v>
      </c>
      <c r="G443" t="s">
        <v>13</v>
      </c>
      <c r="H443" t="s">
        <v>14</v>
      </c>
      <c r="I443" t="s">
        <v>33</v>
      </c>
      <c r="J443" t="s">
        <v>90</v>
      </c>
      <c r="K443" t="s">
        <v>108</v>
      </c>
      <c r="L443" s="5">
        <v>45899</v>
      </c>
      <c r="M443" s="7">
        <v>0.39583333333333331</v>
      </c>
      <c r="N443" s="7">
        <v>0.44791666666666669</v>
      </c>
      <c r="O443" t="s">
        <v>236</v>
      </c>
      <c r="P443" t="s">
        <v>93</v>
      </c>
      <c r="Q443">
        <v>95</v>
      </c>
      <c r="R443">
        <v>9.1999999999999993</v>
      </c>
      <c r="S443" t="s">
        <v>101</v>
      </c>
      <c r="T443">
        <v>25</v>
      </c>
      <c r="U443" t="s">
        <v>95</v>
      </c>
      <c r="V443" t="s">
        <v>96</v>
      </c>
      <c r="W443">
        <v>2100</v>
      </c>
    </row>
    <row r="444" spans="1:23" x14ac:dyDescent="0.35">
      <c r="A444" t="s">
        <v>709</v>
      </c>
      <c r="B444" t="s">
        <v>625</v>
      </c>
      <c r="C444">
        <v>34</v>
      </c>
      <c r="D444" t="s">
        <v>11</v>
      </c>
      <c r="E444" t="s">
        <v>26</v>
      </c>
      <c r="F444" t="s">
        <v>63</v>
      </c>
      <c r="G444" t="s">
        <v>21</v>
      </c>
      <c r="H444" t="s">
        <v>22</v>
      </c>
      <c r="I444" t="s">
        <v>23</v>
      </c>
      <c r="J444" t="s">
        <v>97</v>
      </c>
      <c r="K444" t="s">
        <v>98</v>
      </c>
      <c r="L444" s="5">
        <v>45900</v>
      </c>
      <c r="M444" s="7">
        <v>0.95833333333333337</v>
      </c>
      <c r="N444" s="7">
        <v>7.6388888888888895E-2</v>
      </c>
      <c r="O444" t="s">
        <v>156</v>
      </c>
      <c r="P444" t="s">
        <v>100</v>
      </c>
      <c r="Q444">
        <v>1150</v>
      </c>
      <c r="R444">
        <v>27</v>
      </c>
      <c r="S444" t="s">
        <v>94</v>
      </c>
      <c r="T444">
        <v>0</v>
      </c>
      <c r="U444" t="s">
        <v>107</v>
      </c>
      <c r="V444" t="s">
        <v>125</v>
      </c>
      <c r="W444">
        <v>12000</v>
      </c>
    </row>
    <row r="445" spans="1:23" x14ac:dyDescent="0.35">
      <c r="A445" t="s">
        <v>710</v>
      </c>
      <c r="B445" t="s">
        <v>627</v>
      </c>
      <c r="C445">
        <v>31</v>
      </c>
      <c r="D445" t="s">
        <v>18</v>
      </c>
      <c r="E445" t="s">
        <v>31</v>
      </c>
      <c r="F445" t="s">
        <v>628</v>
      </c>
      <c r="G445" t="s">
        <v>21</v>
      </c>
      <c r="H445" t="s">
        <v>15</v>
      </c>
      <c r="I445" t="s">
        <v>629</v>
      </c>
      <c r="J445" t="s">
        <v>91</v>
      </c>
      <c r="K445" t="s">
        <v>630</v>
      </c>
      <c r="L445" s="5">
        <v>45900</v>
      </c>
      <c r="M445" s="7">
        <v>0.19444444444444445</v>
      </c>
      <c r="N445" s="7">
        <v>0.25694444444444442</v>
      </c>
      <c r="O445" t="s">
        <v>172</v>
      </c>
      <c r="P445" t="s">
        <v>93</v>
      </c>
      <c r="Q445">
        <v>310</v>
      </c>
      <c r="R445">
        <v>14.5</v>
      </c>
      <c r="S445" t="s">
        <v>111</v>
      </c>
      <c r="T445">
        <v>0</v>
      </c>
      <c r="U445" t="s">
        <v>95</v>
      </c>
      <c r="V445" t="s">
        <v>112</v>
      </c>
      <c r="W445">
        <v>3400</v>
      </c>
    </row>
    <row r="446" spans="1:23" x14ac:dyDescent="0.35">
      <c r="A446" t="s">
        <v>711</v>
      </c>
      <c r="B446" t="s">
        <v>632</v>
      </c>
      <c r="C446">
        <v>40</v>
      </c>
      <c r="D446" t="s">
        <v>11</v>
      </c>
      <c r="E446" t="s">
        <v>43</v>
      </c>
      <c r="F446" t="s">
        <v>633</v>
      </c>
      <c r="G446" t="s">
        <v>21</v>
      </c>
      <c r="H446" t="s">
        <v>33</v>
      </c>
      <c r="I446" t="s">
        <v>45</v>
      </c>
      <c r="J446" t="s">
        <v>108</v>
      </c>
      <c r="K446" t="s">
        <v>116</v>
      </c>
      <c r="L446" s="5">
        <v>45901</v>
      </c>
      <c r="M446" s="7">
        <v>9.7222222222222224E-2</v>
      </c>
      <c r="N446" s="7">
        <v>0.4375</v>
      </c>
      <c r="O446" t="s">
        <v>168</v>
      </c>
      <c r="P446" t="s">
        <v>100</v>
      </c>
      <c r="Q446">
        <v>1700</v>
      </c>
      <c r="R446">
        <v>25.6</v>
      </c>
      <c r="S446" t="s">
        <v>94</v>
      </c>
      <c r="T446">
        <v>0</v>
      </c>
      <c r="U446" t="s">
        <v>102</v>
      </c>
      <c r="V446" t="s">
        <v>103</v>
      </c>
      <c r="W446">
        <v>9800</v>
      </c>
    </row>
    <row r="447" spans="1:23" x14ac:dyDescent="0.35">
      <c r="A447" t="s">
        <v>712</v>
      </c>
      <c r="B447" t="s">
        <v>635</v>
      </c>
      <c r="C447">
        <v>27</v>
      </c>
      <c r="D447" t="s">
        <v>18</v>
      </c>
      <c r="E447" t="s">
        <v>12</v>
      </c>
      <c r="F447" s="11" t="s">
        <v>720</v>
      </c>
      <c r="G447" t="s">
        <v>13</v>
      </c>
      <c r="H447" t="s">
        <v>39</v>
      </c>
      <c r="I447" t="s">
        <v>57</v>
      </c>
      <c r="J447" t="s">
        <v>113</v>
      </c>
      <c r="K447" t="s">
        <v>121</v>
      </c>
      <c r="L447" s="5">
        <v>45901</v>
      </c>
      <c r="M447" s="7">
        <v>0.55208333333333337</v>
      </c>
      <c r="N447" s="7">
        <v>0.64930555555555558</v>
      </c>
      <c r="O447" t="s">
        <v>176</v>
      </c>
      <c r="P447" t="s">
        <v>93</v>
      </c>
      <c r="Q447">
        <v>130</v>
      </c>
      <c r="R447">
        <v>11</v>
      </c>
      <c r="S447" t="s">
        <v>94</v>
      </c>
      <c r="T447">
        <v>0</v>
      </c>
      <c r="U447" t="s">
        <v>95</v>
      </c>
      <c r="V447" t="s">
        <v>96</v>
      </c>
      <c r="W447">
        <v>2500</v>
      </c>
    </row>
    <row r="448" spans="1:23" x14ac:dyDescent="0.35">
      <c r="A448" t="s">
        <v>713</v>
      </c>
      <c r="B448" t="s">
        <v>231</v>
      </c>
      <c r="C448">
        <v>36</v>
      </c>
      <c r="D448" t="s">
        <v>11</v>
      </c>
      <c r="E448" t="s">
        <v>48</v>
      </c>
      <c r="F448" t="s">
        <v>637</v>
      </c>
      <c r="G448" t="s">
        <v>21</v>
      </c>
      <c r="H448" t="s">
        <v>14</v>
      </c>
      <c r="I448" t="s">
        <v>28</v>
      </c>
      <c r="J448" t="s">
        <v>90</v>
      </c>
      <c r="K448" t="s">
        <v>104</v>
      </c>
      <c r="L448" s="5">
        <v>45902</v>
      </c>
      <c r="M448" s="7">
        <v>0.41666666666666669</v>
      </c>
      <c r="N448" s="7">
        <v>0.76736111111111116</v>
      </c>
      <c r="O448" t="s">
        <v>99</v>
      </c>
      <c r="P448" t="s">
        <v>100</v>
      </c>
      <c r="Q448">
        <v>1600</v>
      </c>
      <c r="R448">
        <v>26.3</v>
      </c>
      <c r="S448" t="s">
        <v>101</v>
      </c>
      <c r="T448">
        <v>40</v>
      </c>
      <c r="U448" t="s">
        <v>107</v>
      </c>
      <c r="V448" t="s">
        <v>103</v>
      </c>
      <c r="W448">
        <v>11000</v>
      </c>
    </row>
    <row r="449" spans="1:23" x14ac:dyDescent="0.35">
      <c r="A449" t="s">
        <v>714</v>
      </c>
      <c r="B449" t="s">
        <v>639</v>
      </c>
      <c r="C449">
        <v>24</v>
      </c>
      <c r="D449" t="s">
        <v>18</v>
      </c>
      <c r="E449" t="s">
        <v>52</v>
      </c>
      <c r="F449" t="s">
        <v>640</v>
      </c>
      <c r="G449" t="s">
        <v>21</v>
      </c>
      <c r="H449" t="s">
        <v>22</v>
      </c>
      <c r="I449" t="s">
        <v>40</v>
      </c>
      <c r="J449" t="s">
        <v>97</v>
      </c>
      <c r="K449" t="s">
        <v>114</v>
      </c>
      <c r="L449" s="5">
        <v>45902</v>
      </c>
      <c r="M449" s="7">
        <v>0.23958333333333334</v>
      </c>
      <c r="N449" s="7">
        <v>0.70486111111111116</v>
      </c>
      <c r="O449" t="s">
        <v>641</v>
      </c>
      <c r="P449" t="s">
        <v>93</v>
      </c>
      <c r="Q449">
        <v>760</v>
      </c>
      <c r="R449">
        <v>16.8</v>
      </c>
      <c r="S449" t="s">
        <v>94</v>
      </c>
      <c r="T449">
        <v>0</v>
      </c>
      <c r="U449" t="s">
        <v>102</v>
      </c>
      <c r="V449" t="s">
        <v>96</v>
      </c>
      <c r="W449">
        <v>4200</v>
      </c>
    </row>
    <row r="450" spans="1:23" x14ac:dyDescent="0.35">
      <c r="A450" t="s">
        <v>715</v>
      </c>
      <c r="B450" t="s">
        <v>643</v>
      </c>
      <c r="C450">
        <v>38</v>
      </c>
      <c r="D450" t="s">
        <v>11</v>
      </c>
      <c r="E450" t="s">
        <v>37</v>
      </c>
      <c r="F450" t="s">
        <v>644</v>
      </c>
      <c r="G450" t="s">
        <v>21</v>
      </c>
      <c r="H450" t="s">
        <v>15</v>
      </c>
      <c r="I450" t="s">
        <v>34</v>
      </c>
      <c r="J450" t="s">
        <v>91</v>
      </c>
      <c r="K450" t="s">
        <v>109</v>
      </c>
      <c r="L450" s="5">
        <v>45903</v>
      </c>
      <c r="M450" s="7">
        <v>0.97916666666666663</v>
      </c>
      <c r="N450" s="7">
        <v>0.30555555555555558</v>
      </c>
      <c r="O450" t="s">
        <v>645</v>
      </c>
      <c r="P450" t="s">
        <v>100</v>
      </c>
      <c r="Q450">
        <v>1900</v>
      </c>
      <c r="R450">
        <v>28.2</v>
      </c>
      <c r="S450" t="s">
        <v>94</v>
      </c>
      <c r="T450">
        <v>0</v>
      </c>
      <c r="U450" t="s">
        <v>95</v>
      </c>
      <c r="V450" t="s">
        <v>103</v>
      </c>
      <c r="W450">
        <v>10500</v>
      </c>
    </row>
    <row r="451" spans="1:23" x14ac:dyDescent="0.35">
      <c r="A451" t="s">
        <v>716</v>
      </c>
      <c r="B451" t="s">
        <v>647</v>
      </c>
      <c r="C451">
        <v>30</v>
      </c>
      <c r="D451" t="s">
        <v>18</v>
      </c>
      <c r="E451" t="s">
        <v>12</v>
      </c>
      <c r="F451" s="11" t="s">
        <v>225</v>
      </c>
      <c r="G451" t="s">
        <v>13</v>
      </c>
      <c r="H451" t="s">
        <v>57</v>
      </c>
      <c r="I451" t="s">
        <v>15</v>
      </c>
      <c r="J451" t="s">
        <v>121</v>
      </c>
      <c r="K451" t="s">
        <v>91</v>
      </c>
      <c r="L451" s="5">
        <v>45903</v>
      </c>
      <c r="M451" s="7">
        <v>0.68055555555555558</v>
      </c>
      <c r="N451" s="7">
        <v>0.78125</v>
      </c>
      <c r="O451" t="s">
        <v>648</v>
      </c>
      <c r="P451" t="s">
        <v>93</v>
      </c>
      <c r="Q451">
        <v>140</v>
      </c>
      <c r="R451">
        <v>10.9</v>
      </c>
      <c r="S451" t="s">
        <v>111</v>
      </c>
      <c r="T451">
        <v>0</v>
      </c>
      <c r="U451" t="s">
        <v>102</v>
      </c>
      <c r="V451" t="s">
        <v>96</v>
      </c>
      <c r="W451">
        <v>1800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Data Set </vt:lpstr>
      <vt:lpstr>Copy of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Nalini Santhana Gopalan</dc:creator>
  <cp:lastModifiedBy>Nalini Santhana Gopalan</cp:lastModifiedBy>
  <dcterms:created xsi:type="dcterms:W3CDTF">2026-05-17T17:14:16Z</dcterms:created>
  <dcterms:modified xsi:type="dcterms:W3CDTF">2026-06-23T09:05:04Z</dcterms:modified>
</cp:coreProperties>
</file>